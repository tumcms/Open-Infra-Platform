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BlueInfrastructureCenter\docs\"/>
    </mc:Choice>
  </mc:AlternateContent>
  <bookViews>
    <workbookView xWindow="0" yWindow="0" windowWidth="19200" windowHeight="11640"/>
  </bookViews>
  <sheets>
    <sheet name="Horizontal Element Checker" sheetId="1" r:id="rId1"/>
    <sheet name="Vertical Element Checker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6" i="1" l="1"/>
  <c r="W76" i="1"/>
  <c r="X76" i="1"/>
  <c r="M76" i="1"/>
  <c r="O76" i="1"/>
  <c r="P76" i="1"/>
  <c r="T76" i="1"/>
  <c r="S76" i="1"/>
  <c r="Q76" i="1" l="1"/>
  <c r="Y76" i="1" s="1"/>
  <c r="N76" i="1"/>
  <c r="R76" i="1" s="1"/>
  <c r="Z76" i="1" s="1"/>
  <c r="M75" i="1"/>
  <c r="V75" i="1"/>
  <c r="N75" i="1" s="1"/>
  <c r="W75" i="1"/>
  <c r="X75" i="1"/>
  <c r="AB75" i="1"/>
  <c r="AC75" i="1"/>
  <c r="AD75" i="1"/>
  <c r="AE75" i="1"/>
  <c r="P75" i="1"/>
  <c r="S75" i="1"/>
  <c r="O75" i="1"/>
  <c r="T75" i="1"/>
  <c r="Q75" i="1" l="1"/>
  <c r="Y75" i="1" s="1"/>
  <c r="R75" i="1"/>
  <c r="Z75" i="1" s="1"/>
  <c r="M74" i="1"/>
  <c r="W74" i="1" s="1"/>
  <c r="X74" i="1" s="1"/>
  <c r="V74" i="1"/>
  <c r="AB74" i="1"/>
  <c r="AC74" i="1"/>
  <c r="AD74" i="1"/>
  <c r="AE74" i="1"/>
  <c r="O74" i="1"/>
  <c r="P74" i="1"/>
  <c r="Q74" i="1" l="1"/>
  <c r="R74" i="1"/>
  <c r="N74" i="1"/>
  <c r="M73" i="1"/>
  <c r="N73" i="1"/>
  <c r="V73" i="1"/>
  <c r="W73" i="1"/>
  <c r="X73" i="1"/>
  <c r="AB73" i="1"/>
  <c r="AC73" i="1"/>
  <c r="AD73" i="1"/>
  <c r="AE73" i="1"/>
  <c r="S73" i="1"/>
  <c r="P73" i="1"/>
  <c r="O73" i="1"/>
  <c r="T73" i="1"/>
  <c r="T74" i="1"/>
  <c r="S74" i="1"/>
  <c r="Z74" i="1" l="1"/>
  <c r="Y74" i="1"/>
  <c r="Q73" i="1"/>
  <c r="Y73" i="1" s="1"/>
  <c r="R73" i="1"/>
  <c r="Z73" i="1" s="1"/>
  <c r="K60" i="2"/>
  <c r="J60" i="2"/>
  <c r="L60" i="2" s="1"/>
  <c r="M60" i="2" s="1"/>
  <c r="M59" i="2"/>
  <c r="L59" i="2"/>
  <c r="K59" i="2"/>
  <c r="J59" i="2"/>
  <c r="K58" i="2"/>
  <c r="J58" i="2"/>
  <c r="L58" i="2" s="1"/>
  <c r="M58" i="2" s="1"/>
  <c r="M57" i="2"/>
  <c r="L57" i="2"/>
  <c r="K57" i="2"/>
  <c r="J57" i="2"/>
  <c r="K56" i="2"/>
  <c r="J56" i="2"/>
  <c r="L56" i="2" s="1"/>
  <c r="M56" i="2" s="1"/>
  <c r="K55" i="2"/>
  <c r="J55" i="2"/>
  <c r="L55" i="2" s="1"/>
  <c r="M55" i="2" s="1"/>
  <c r="M54" i="2"/>
  <c r="L54" i="2"/>
  <c r="K54" i="2"/>
  <c r="J54" i="2"/>
  <c r="K53" i="2"/>
  <c r="J53" i="2"/>
  <c r="L53" i="2" s="1"/>
  <c r="M53" i="2" s="1"/>
  <c r="K52" i="2"/>
  <c r="J52" i="2"/>
  <c r="L52" i="2" s="1"/>
  <c r="M52" i="2" s="1"/>
  <c r="K51" i="2"/>
  <c r="J51" i="2"/>
  <c r="L51" i="2" s="1"/>
  <c r="M51" i="2" s="1"/>
  <c r="K50" i="2"/>
  <c r="J50" i="2"/>
  <c r="L50" i="2" s="1"/>
  <c r="M50" i="2" s="1"/>
  <c r="K49" i="2"/>
  <c r="J49" i="2"/>
  <c r="L49" i="2" s="1"/>
  <c r="M49" i="2" s="1"/>
  <c r="K48" i="2"/>
  <c r="J48" i="2"/>
  <c r="L48" i="2" s="1"/>
  <c r="M48" i="2" s="1"/>
  <c r="K47" i="2"/>
  <c r="J47" i="2"/>
  <c r="L47" i="2" s="1"/>
  <c r="M47" i="2" s="1"/>
  <c r="K46" i="2"/>
  <c r="J46" i="2"/>
  <c r="L46" i="2" s="1"/>
  <c r="M46" i="2" s="1"/>
  <c r="K45" i="2"/>
  <c r="J45" i="2"/>
  <c r="L45" i="2" s="1"/>
  <c r="M45" i="2" s="1"/>
  <c r="M44" i="2"/>
  <c r="L44" i="2"/>
  <c r="K44" i="2"/>
  <c r="J44" i="2"/>
  <c r="K43" i="2"/>
  <c r="J43" i="2"/>
  <c r="L43" i="2" s="1"/>
  <c r="M43" i="2" s="1"/>
  <c r="K42" i="2"/>
  <c r="J42" i="2"/>
  <c r="L42" i="2" s="1"/>
  <c r="M42" i="2" s="1"/>
  <c r="K41" i="2"/>
  <c r="J41" i="2"/>
  <c r="L41" i="2" s="1"/>
  <c r="M41" i="2" s="1"/>
  <c r="K40" i="2"/>
  <c r="J40" i="2"/>
  <c r="L40" i="2" s="1"/>
  <c r="M40" i="2" s="1"/>
  <c r="K39" i="2"/>
  <c r="J39" i="2"/>
  <c r="L39" i="2" s="1"/>
  <c r="M39" i="2" s="1"/>
  <c r="K38" i="2"/>
  <c r="J38" i="2"/>
  <c r="L38" i="2" s="1"/>
  <c r="M38" i="2" s="1"/>
  <c r="K37" i="2"/>
  <c r="J37" i="2"/>
  <c r="L37" i="2" s="1"/>
  <c r="M37" i="2" s="1"/>
  <c r="K36" i="2"/>
  <c r="J36" i="2"/>
  <c r="L36" i="2" s="1"/>
  <c r="M36" i="2" s="1"/>
  <c r="M35" i="2"/>
  <c r="L35" i="2"/>
  <c r="K35" i="2"/>
  <c r="J35" i="2"/>
  <c r="K34" i="2"/>
  <c r="J34" i="2"/>
  <c r="L34" i="2" s="1"/>
  <c r="M34" i="2" s="1"/>
  <c r="K33" i="2"/>
  <c r="J33" i="2"/>
  <c r="L33" i="2" s="1"/>
  <c r="M33" i="2" s="1"/>
  <c r="K32" i="2"/>
  <c r="J32" i="2"/>
  <c r="L32" i="2" s="1"/>
  <c r="M32" i="2" s="1"/>
  <c r="M31" i="2"/>
  <c r="L31" i="2"/>
  <c r="K31" i="2"/>
  <c r="J31" i="2"/>
  <c r="K30" i="2"/>
  <c r="J30" i="2"/>
  <c r="L30" i="2" s="1"/>
  <c r="M30" i="2" s="1"/>
  <c r="K29" i="2"/>
  <c r="J29" i="2"/>
  <c r="L29" i="2" s="1"/>
  <c r="M29" i="2" s="1"/>
  <c r="K28" i="2"/>
  <c r="J28" i="2"/>
  <c r="L28" i="2" s="1"/>
  <c r="M28" i="2" s="1"/>
  <c r="K27" i="2"/>
  <c r="J27" i="2"/>
  <c r="L27" i="2" s="1"/>
  <c r="M27" i="2" s="1"/>
  <c r="M26" i="2"/>
  <c r="L26" i="2"/>
  <c r="K26" i="2"/>
  <c r="J26" i="2"/>
  <c r="K25" i="2"/>
  <c r="J25" i="2"/>
  <c r="L25" i="2" s="1"/>
  <c r="M25" i="2" s="1"/>
  <c r="K24" i="2"/>
  <c r="J24" i="2"/>
  <c r="L24" i="2" s="1"/>
  <c r="M24" i="2" s="1"/>
  <c r="K23" i="2"/>
  <c r="J23" i="2"/>
  <c r="L23" i="2" s="1"/>
  <c r="M23" i="2" s="1"/>
  <c r="K22" i="2"/>
  <c r="J22" i="2"/>
  <c r="L22" i="2" s="1"/>
  <c r="M22" i="2" s="1"/>
  <c r="K21" i="2"/>
  <c r="J21" i="2"/>
  <c r="L21" i="2" s="1"/>
  <c r="M21" i="2" s="1"/>
  <c r="M20" i="2"/>
  <c r="L20" i="2"/>
  <c r="K20" i="2"/>
  <c r="J20" i="2"/>
  <c r="K19" i="2"/>
  <c r="J19" i="2"/>
  <c r="L19" i="2" s="1"/>
  <c r="M19" i="2" s="1"/>
  <c r="K18" i="2"/>
  <c r="J18" i="2"/>
  <c r="L18" i="2" s="1"/>
  <c r="M18" i="2" s="1"/>
  <c r="M17" i="2"/>
  <c r="L17" i="2"/>
  <c r="K17" i="2"/>
  <c r="J17" i="2"/>
  <c r="K16" i="2"/>
  <c r="J16" i="2"/>
  <c r="L16" i="2" s="1"/>
  <c r="M16" i="2" s="1"/>
  <c r="K15" i="2"/>
  <c r="J15" i="2"/>
  <c r="L15" i="2" s="1"/>
  <c r="M15" i="2" s="1"/>
  <c r="K14" i="2"/>
  <c r="J14" i="2"/>
  <c r="L14" i="2" s="1"/>
  <c r="M14" i="2" s="1"/>
  <c r="K13" i="2"/>
  <c r="J13" i="2"/>
  <c r="L13" i="2" s="1"/>
  <c r="M13" i="2" s="1"/>
  <c r="K12" i="2"/>
  <c r="J12" i="2"/>
  <c r="L12" i="2" s="1"/>
  <c r="M12" i="2" s="1"/>
  <c r="L11" i="2"/>
  <c r="M11" i="2" s="1"/>
  <c r="K11" i="2"/>
  <c r="J11" i="2"/>
  <c r="L10" i="2"/>
  <c r="M10" i="2" s="1"/>
  <c r="K10" i="2"/>
  <c r="J10" i="2"/>
  <c r="M9" i="2"/>
  <c r="L9" i="2"/>
  <c r="K9" i="2"/>
  <c r="J9" i="2"/>
  <c r="K8" i="2"/>
  <c r="J8" i="2"/>
  <c r="L8" i="2" s="1"/>
  <c r="M8" i="2" s="1"/>
  <c r="K7" i="2"/>
  <c r="J7" i="2"/>
  <c r="L7" i="2" s="1"/>
  <c r="M7" i="2" s="1"/>
  <c r="L6" i="2"/>
  <c r="M6" i="2" s="1"/>
  <c r="K6" i="2"/>
  <c r="J6" i="2"/>
  <c r="M5" i="2"/>
  <c r="L5" i="2"/>
  <c r="K5" i="2"/>
  <c r="J5" i="2"/>
  <c r="K4" i="2"/>
  <c r="J4" i="2"/>
  <c r="L4" i="2" s="1"/>
  <c r="M4" i="2" l="1"/>
  <c r="O4" i="2" s="1"/>
  <c r="P4" i="2" l="1"/>
  <c r="T57" i="2" l="1"/>
  <c r="T53" i="2"/>
  <c r="T49" i="2"/>
  <c r="T45" i="2"/>
  <c r="T41" i="2"/>
  <c r="T37" i="2"/>
  <c r="T33" i="2"/>
  <c r="T29" i="2"/>
  <c r="T25" i="2"/>
  <c r="T21" i="2"/>
  <c r="T17" i="2"/>
  <c r="T13" i="2"/>
  <c r="T9" i="2"/>
  <c r="O58" i="2"/>
  <c r="P58" i="2" s="1"/>
  <c r="U59" i="2" s="1"/>
  <c r="O54" i="2"/>
  <c r="P54" i="2" s="1"/>
  <c r="U55" i="2" s="1"/>
  <c r="O53" i="2"/>
  <c r="O50" i="2"/>
  <c r="P50" i="2" s="1"/>
  <c r="U51" i="2" s="1"/>
  <c r="O46" i="2"/>
  <c r="P46" i="2" s="1"/>
  <c r="U47" i="2" s="1"/>
  <c r="O45" i="2"/>
  <c r="O42" i="2"/>
  <c r="P42" i="2" s="1"/>
  <c r="U43" i="2" s="1"/>
  <c r="O38" i="2"/>
  <c r="P38" i="2" s="1"/>
  <c r="U39" i="2" s="1"/>
  <c r="O37" i="2"/>
  <c r="O34" i="2"/>
  <c r="P34" i="2" s="1"/>
  <c r="U35" i="2" s="1"/>
  <c r="O30" i="2"/>
  <c r="P30" i="2" s="1"/>
  <c r="U31" i="2" s="1"/>
  <c r="O29" i="2"/>
  <c r="O26" i="2"/>
  <c r="P26" i="2" s="1"/>
  <c r="U27" i="2" s="1"/>
  <c r="O22" i="2"/>
  <c r="P22" i="2" s="1"/>
  <c r="U23" i="2" s="1"/>
  <c r="O21" i="2"/>
  <c r="O18" i="2"/>
  <c r="P18" i="2" s="1"/>
  <c r="U19" i="2" s="1"/>
  <c r="O14" i="2"/>
  <c r="P14" i="2" s="1"/>
  <c r="U15" i="2" s="1"/>
  <c r="O13" i="2"/>
  <c r="O10" i="2"/>
  <c r="P10" i="2" s="1"/>
  <c r="U11" i="2" s="1"/>
  <c r="O6" i="2"/>
  <c r="P6" i="2" s="1"/>
  <c r="U7" i="2" s="1"/>
  <c r="I60" i="2"/>
  <c r="O60" i="2" s="1"/>
  <c r="P60" i="2" s="1"/>
  <c r="I59" i="2"/>
  <c r="O59" i="2" s="1"/>
  <c r="I58" i="2"/>
  <c r="I57" i="2"/>
  <c r="O57" i="2" s="1"/>
  <c r="I56" i="2"/>
  <c r="O56" i="2" s="1"/>
  <c r="P56" i="2" s="1"/>
  <c r="U57" i="2" s="1"/>
  <c r="I55" i="2"/>
  <c r="O55" i="2" s="1"/>
  <c r="I54" i="2"/>
  <c r="I53" i="2"/>
  <c r="I52" i="2"/>
  <c r="O52" i="2" s="1"/>
  <c r="P52" i="2" s="1"/>
  <c r="U53" i="2" s="1"/>
  <c r="I51" i="2"/>
  <c r="O51" i="2" s="1"/>
  <c r="I50" i="2"/>
  <c r="I49" i="2"/>
  <c r="O49" i="2" s="1"/>
  <c r="I48" i="2"/>
  <c r="O48" i="2" s="1"/>
  <c r="P48" i="2" s="1"/>
  <c r="U49" i="2" s="1"/>
  <c r="I47" i="2"/>
  <c r="O47" i="2" s="1"/>
  <c r="I46" i="2"/>
  <c r="I45" i="2"/>
  <c r="I44" i="2"/>
  <c r="O44" i="2" s="1"/>
  <c r="P44" i="2" s="1"/>
  <c r="U45" i="2" s="1"/>
  <c r="I43" i="2"/>
  <c r="O43" i="2" s="1"/>
  <c r="I42" i="2"/>
  <c r="I41" i="2"/>
  <c r="O41" i="2" s="1"/>
  <c r="I40" i="2"/>
  <c r="O40" i="2" s="1"/>
  <c r="P40" i="2" s="1"/>
  <c r="U41" i="2" s="1"/>
  <c r="I39" i="2"/>
  <c r="O39" i="2" s="1"/>
  <c r="I38" i="2"/>
  <c r="I37" i="2"/>
  <c r="I36" i="2"/>
  <c r="O36" i="2" s="1"/>
  <c r="P36" i="2" s="1"/>
  <c r="U37" i="2" s="1"/>
  <c r="I35" i="2"/>
  <c r="O35" i="2" s="1"/>
  <c r="I34" i="2"/>
  <c r="I33" i="2"/>
  <c r="O33" i="2" s="1"/>
  <c r="I32" i="2"/>
  <c r="O32" i="2" s="1"/>
  <c r="P32" i="2" s="1"/>
  <c r="U33" i="2" s="1"/>
  <c r="I31" i="2"/>
  <c r="O31" i="2" s="1"/>
  <c r="I30" i="2"/>
  <c r="I29" i="2"/>
  <c r="I28" i="2"/>
  <c r="O28" i="2" s="1"/>
  <c r="P28" i="2" s="1"/>
  <c r="U29" i="2" s="1"/>
  <c r="I27" i="2"/>
  <c r="O27" i="2" s="1"/>
  <c r="I26" i="2"/>
  <c r="I25" i="2"/>
  <c r="O25" i="2" s="1"/>
  <c r="I24" i="2"/>
  <c r="O24" i="2" s="1"/>
  <c r="P24" i="2" s="1"/>
  <c r="U25" i="2" s="1"/>
  <c r="I23" i="2"/>
  <c r="O23" i="2" s="1"/>
  <c r="I22" i="2"/>
  <c r="I21" i="2"/>
  <c r="I20" i="2"/>
  <c r="O20" i="2" s="1"/>
  <c r="P20" i="2" s="1"/>
  <c r="U21" i="2" s="1"/>
  <c r="I19" i="2"/>
  <c r="O19" i="2" s="1"/>
  <c r="I18" i="2"/>
  <c r="I17" i="2"/>
  <c r="O17" i="2" s="1"/>
  <c r="I16" i="2"/>
  <c r="O16" i="2" s="1"/>
  <c r="P16" i="2" s="1"/>
  <c r="U17" i="2" s="1"/>
  <c r="I15" i="2"/>
  <c r="O15" i="2" s="1"/>
  <c r="I14" i="2"/>
  <c r="I13" i="2"/>
  <c r="I12" i="2"/>
  <c r="O12" i="2" s="1"/>
  <c r="P12" i="2" s="1"/>
  <c r="U13" i="2" s="1"/>
  <c r="I11" i="2"/>
  <c r="O11" i="2" s="1"/>
  <c r="I10" i="2"/>
  <c r="I9" i="2"/>
  <c r="O9" i="2" s="1"/>
  <c r="I8" i="2"/>
  <c r="O8" i="2" s="1"/>
  <c r="P8" i="2" s="1"/>
  <c r="U9" i="2" s="1"/>
  <c r="I7" i="2"/>
  <c r="O7" i="2" s="1"/>
  <c r="I6" i="2"/>
  <c r="I5" i="2"/>
  <c r="O5" i="2" s="1"/>
  <c r="I4" i="2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" i="1"/>
  <c r="A7" i="1"/>
  <c r="A8" i="1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5" i="1"/>
  <c r="A4" i="1"/>
  <c r="U5" i="2" l="1"/>
  <c r="T5" i="2"/>
  <c r="P7" i="2"/>
  <c r="U8" i="2" s="1"/>
  <c r="T8" i="2"/>
  <c r="P5" i="2"/>
  <c r="U6" i="2" s="1"/>
  <c r="T6" i="2"/>
  <c r="P9" i="2"/>
  <c r="U10" i="2" s="1"/>
  <c r="T10" i="2"/>
  <c r="P17" i="2"/>
  <c r="U18" i="2" s="1"/>
  <c r="T18" i="2"/>
  <c r="P25" i="2"/>
  <c r="U26" i="2" s="1"/>
  <c r="T26" i="2"/>
  <c r="P33" i="2"/>
  <c r="U34" i="2" s="1"/>
  <c r="T34" i="2"/>
  <c r="P41" i="2"/>
  <c r="U42" i="2" s="1"/>
  <c r="T42" i="2"/>
  <c r="P49" i="2"/>
  <c r="U50" i="2" s="1"/>
  <c r="T50" i="2"/>
  <c r="P57" i="2"/>
  <c r="U58" i="2" s="1"/>
  <c r="T58" i="2"/>
  <c r="P15" i="2"/>
  <c r="U16" i="2" s="1"/>
  <c r="T16" i="2"/>
  <c r="P23" i="2"/>
  <c r="U24" i="2" s="1"/>
  <c r="T24" i="2"/>
  <c r="P31" i="2"/>
  <c r="U32" i="2" s="1"/>
  <c r="T32" i="2"/>
  <c r="P39" i="2"/>
  <c r="U40" i="2" s="1"/>
  <c r="T40" i="2"/>
  <c r="P47" i="2"/>
  <c r="U48" i="2" s="1"/>
  <c r="T48" i="2"/>
  <c r="P55" i="2"/>
  <c r="U56" i="2" s="1"/>
  <c r="T56" i="2"/>
  <c r="P21" i="2"/>
  <c r="U22" i="2" s="1"/>
  <c r="T22" i="2"/>
  <c r="P37" i="2"/>
  <c r="U38" i="2" s="1"/>
  <c r="T38" i="2"/>
  <c r="T7" i="2"/>
  <c r="T11" i="2"/>
  <c r="T15" i="2"/>
  <c r="T19" i="2"/>
  <c r="T23" i="2"/>
  <c r="T27" i="2"/>
  <c r="T31" i="2"/>
  <c r="T35" i="2"/>
  <c r="T39" i="2"/>
  <c r="T43" i="2"/>
  <c r="T47" i="2"/>
  <c r="T51" i="2"/>
  <c r="T55" i="2"/>
  <c r="T59" i="2"/>
  <c r="P11" i="2"/>
  <c r="U12" i="2" s="1"/>
  <c r="T12" i="2"/>
  <c r="P19" i="2"/>
  <c r="U20" i="2" s="1"/>
  <c r="T20" i="2"/>
  <c r="P27" i="2"/>
  <c r="U28" i="2" s="1"/>
  <c r="T28" i="2"/>
  <c r="P35" i="2"/>
  <c r="U36" i="2" s="1"/>
  <c r="T36" i="2"/>
  <c r="P43" i="2"/>
  <c r="U44" i="2" s="1"/>
  <c r="T44" i="2"/>
  <c r="P51" i="2"/>
  <c r="U52" i="2" s="1"/>
  <c r="T52" i="2"/>
  <c r="P59" i="2"/>
  <c r="U60" i="2" s="1"/>
  <c r="T60" i="2"/>
  <c r="P13" i="2"/>
  <c r="U14" i="2" s="1"/>
  <c r="T14" i="2"/>
  <c r="P29" i="2"/>
  <c r="U30" i="2" s="1"/>
  <c r="T30" i="2"/>
  <c r="P45" i="2"/>
  <c r="U46" i="2" s="1"/>
  <c r="T46" i="2"/>
  <c r="P53" i="2"/>
  <c r="U54" i="2" s="1"/>
  <c r="T54" i="2"/>
  <c r="P72" i="1"/>
  <c r="P70" i="1"/>
  <c r="P69" i="1"/>
  <c r="P68" i="1"/>
  <c r="P67" i="1"/>
  <c r="P66" i="1"/>
  <c r="P65" i="1"/>
  <c r="P63" i="1"/>
  <c r="P61" i="1"/>
  <c r="P59" i="1"/>
  <c r="P57" i="1"/>
  <c r="P55" i="1"/>
  <c r="P53" i="1"/>
  <c r="P51" i="1"/>
  <c r="P49" i="1"/>
  <c r="P47" i="1"/>
  <c r="P45" i="1"/>
  <c r="P43" i="1"/>
  <c r="P42" i="1"/>
  <c r="P40" i="1"/>
  <c r="P38" i="1"/>
  <c r="P36" i="1"/>
  <c r="P34" i="1"/>
  <c r="P32" i="1"/>
  <c r="P30" i="1"/>
  <c r="P28" i="1"/>
  <c r="P26" i="1"/>
  <c r="P24" i="1"/>
  <c r="P22" i="1"/>
  <c r="P21" i="1"/>
  <c r="P19" i="1"/>
  <c r="P17" i="1"/>
  <c r="P15" i="1"/>
  <c r="P14" i="1"/>
  <c r="P13" i="1"/>
  <c r="P11" i="1"/>
  <c r="P9" i="1"/>
  <c r="P8" i="1"/>
  <c r="P7" i="1"/>
  <c r="P6" i="1"/>
  <c r="P4" i="1"/>
  <c r="M48" i="1"/>
  <c r="Z70" i="1"/>
  <c r="AE71" i="1" s="1"/>
  <c r="Y70" i="1"/>
  <c r="AD71" i="1" s="1"/>
  <c r="Z68" i="1"/>
  <c r="AE69" i="1" s="1"/>
  <c r="Y68" i="1"/>
  <c r="AD69" i="1" s="1"/>
  <c r="Z66" i="1"/>
  <c r="Z65" i="1"/>
  <c r="AE66" i="1" s="1"/>
  <c r="Y65" i="1"/>
  <c r="AD66" i="1" s="1"/>
  <c r="Z59" i="1"/>
  <c r="AE60" i="1" s="1"/>
  <c r="Y59" i="1"/>
  <c r="AD60" i="1" s="1"/>
  <c r="Z53" i="1"/>
  <c r="AE54" i="1" s="1"/>
  <c r="Y53" i="1"/>
  <c r="AD54" i="1" s="1"/>
  <c r="Z51" i="1"/>
  <c r="AE52" i="1" s="1"/>
  <c r="Z49" i="1"/>
  <c r="Z38" i="1"/>
  <c r="AE39" i="1" s="1"/>
  <c r="Y38" i="1"/>
  <c r="AD39" i="1" s="1"/>
  <c r="Z34" i="1"/>
  <c r="AE35" i="1" s="1"/>
  <c r="Y34" i="1"/>
  <c r="AD35" i="1" s="1"/>
  <c r="Z24" i="1"/>
  <c r="AE25" i="1" s="1"/>
  <c r="Y24" i="1"/>
  <c r="AD25" i="1" s="1"/>
  <c r="Z21" i="1"/>
  <c r="Z19" i="1"/>
  <c r="AE20" i="1" s="1"/>
  <c r="Y19" i="1"/>
  <c r="AD20" i="1" s="1"/>
  <c r="Z13" i="1"/>
  <c r="AE14" i="1" s="1"/>
  <c r="Y13" i="1"/>
  <c r="AD14" i="1" s="1"/>
  <c r="Z9" i="1"/>
  <c r="AE10" i="1" s="1"/>
  <c r="Y9" i="1"/>
  <c r="AD10" i="1" s="1"/>
  <c r="Z7" i="1"/>
  <c r="AE8" i="1" s="1"/>
  <c r="Y7" i="1"/>
  <c r="AD8" i="1" s="1"/>
  <c r="Z4" i="1"/>
  <c r="AE5" i="1" s="1"/>
  <c r="Y4" i="1"/>
  <c r="AD5" i="1" s="1"/>
  <c r="T72" i="1"/>
  <c r="S72" i="1"/>
  <c r="T70" i="1"/>
  <c r="S70" i="1"/>
  <c r="T69" i="1"/>
  <c r="S69" i="1"/>
  <c r="T68" i="1"/>
  <c r="S68" i="1"/>
  <c r="T67" i="1"/>
  <c r="S67" i="1"/>
  <c r="T66" i="1"/>
  <c r="S66" i="1"/>
  <c r="T65" i="1"/>
  <c r="S65" i="1"/>
  <c r="T63" i="1"/>
  <c r="S63" i="1"/>
  <c r="T61" i="1"/>
  <c r="S61" i="1"/>
  <c r="T59" i="1"/>
  <c r="S59" i="1"/>
  <c r="T57" i="1"/>
  <c r="S57" i="1"/>
  <c r="T55" i="1"/>
  <c r="S55" i="1"/>
  <c r="T53" i="1"/>
  <c r="S53" i="1"/>
  <c r="T51" i="1"/>
  <c r="S51" i="1"/>
  <c r="T49" i="1"/>
  <c r="S49" i="1"/>
  <c r="T47" i="1"/>
  <c r="S47" i="1"/>
  <c r="T45" i="1"/>
  <c r="S45" i="1"/>
  <c r="T43" i="1"/>
  <c r="S43" i="1"/>
  <c r="T42" i="1"/>
  <c r="S42" i="1"/>
  <c r="T40" i="1"/>
  <c r="S40" i="1"/>
  <c r="T38" i="1"/>
  <c r="S38" i="1"/>
  <c r="T36" i="1"/>
  <c r="S36" i="1"/>
  <c r="T34" i="1"/>
  <c r="S34" i="1"/>
  <c r="T32" i="1"/>
  <c r="S32" i="1"/>
  <c r="T30" i="1"/>
  <c r="S30" i="1"/>
  <c r="T28" i="1"/>
  <c r="S28" i="1"/>
  <c r="T26" i="1"/>
  <c r="S26" i="1"/>
  <c r="T24" i="1"/>
  <c r="S24" i="1"/>
  <c r="T22" i="1"/>
  <c r="S22" i="1"/>
  <c r="T21" i="1"/>
  <c r="S21" i="1"/>
  <c r="T19" i="1"/>
  <c r="S19" i="1"/>
  <c r="T17" i="1"/>
  <c r="S17" i="1"/>
  <c r="T15" i="1"/>
  <c r="S15" i="1"/>
  <c r="T14" i="1"/>
  <c r="S14" i="1"/>
  <c r="T13" i="1"/>
  <c r="S13" i="1"/>
  <c r="T11" i="1"/>
  <c r="S11" i="1"/>
  <c r="T9" i="1"/>
  <c r="S9" i="1"/>
  <c r="T8" i="1"/>
  <c r="S8" i="1"/>
  <c r="T7" i="1"/>
  <c r="S7" i="1"/>
  <c r="T6" i="1"/>
  <c r="S6" i="1"/>
  <c r="T4" i="1"/>
  <c r="S4" i="1"/>
  <c r="O72" i="1"/>
  <c r="O70" i="1"/>
  <c r="O69" i="1"/>
  <c r="O68" i="1"/>
  <c r="O67" i="1"/>
  <c r="O66" i="1"/>
  <c r="O65" i="1"/>
  <c r="O63" i="1"/>
  <c r="O61" i="1"/>
  <c r="O59" i="1"/>
  <c r="O57" i="1"/>
  <c r="O55" i="1"/>
  <c r="O53" i="1"/>
  <c r="O51" i="1"/>
  <c r="O49" i="1"/>
  <c r="O47" i="1"/>
  <c r="O45" i="1"/>
  <c r="O43" i="1"/>
  <c r="O42" i="1"/>
  <c r="O40" i="1"/>
  <c r="O38" i="1"/>
  <c r="O36" i="1"/>
  <c r="O34" i="1"/>
  <c r="O32" i="1"/>
  <c r="O30" i="1"/>
  <c r="O28" i="1"/>
  <c r="O26" i="1"/>
  <c r="O24" i="1"/>
  <c r="O22" i="1"/>
  <c r="O21" i="1"/>
  <c r="O19" i="1"/>
  <c r="O17" i="1"/>
  <c r="O15" i="1"/>
  <c r="O14" i="1"/>
  <c r="O13" i="1"/>
  <c r="O11" i="1"/>
  <c r="O9" i="1"/>
  <c r="O8" i="1"/>
  <c r="O7" i="1"/>
  <c r="O6" i="1"/>
  <c r="O4" i="1"/>
  <c r="R72" i="1"/>
  <c r="Q72" i="1"/>
  <c r="R70" i="1"/>
  <c r="Q70" i="1"/>
  <c r="R69" i="1"/>
  <c r="Q69" i="1"/>
  <c r="R68" i="1"/>
  <c r="Q68" i="1"/>
  <c r="R67" i="1"/>
  <c r="Q67" i="1"/>
  <c r="R66" i="1"/>
  <c r="Q66" i="1"/>
  <c r="R65" i="1"/>
  <c r="Q65" i="1"/>
  <c r="R63" i="1"/>
  <c r="Q63" i="1"/>
  <c r="R61" i="1"/>
  <c r="Q61" i="1"/>
  <c r="R59" i="1"/>
  <c r="Q59" i="1"/>
  <c r="R57" i="1"/>
  <c r="Q57" i="1"/>
  <c r="R55" i="1"/>
  <c r="Q55" i="1"/>
  <c r="R53" i="1"/>
  <c r="Q53" i="1"/>
  <c r="R51" i="1"/>
  <c r="Q51" i="1"/>
  <c r="R49" i="1"/>
  <c r="Q49" i="1"/>
  <c r="R47" i="1"/>
  <c r="Q47" i="1"/>
  <c r="R45" i="1"/>
  <c r="Q45" i="1"/>
  <c r="R43" i="1"/>
  <c r="Q43" i="1"/>
  <c r="R42" i="1"/>
  <c r="Q42" i="1"/>
  <c r="R40" i="1"/>
  <c r="Q40" i="1"/>
  <c r="R38" i="1"/>
  <c r="Q38" i="1"/>
  <c r="R36" i="1"/>
  <c r="Q36" i="1"/>
  <c r="R34" i="1"/>
  <c r="Q34" i="1"/>
  <c r="R32" i="1"/>
  <c r="Q32" i="1"/>
  <c r="R30" i="1"/>
  <c r="Q30" i="1"/>
  <c r="R28" i="1"/>
  <c r="Q28" i="1"/>
  <c r="R26" i="1"/>
  <c r="Q26" i="1"/>
  <c r="R24" i="1"/>
  <c r="Q24" i="1"/>
  <c r="R22" i="1"/>
  <c r="Q22" i="1"/>
  <c r="R21" i="1"/>
  <c r="Q21" i="1"/>
  <c r="R19" i="1"/>
  <c r="Q19" i="1"/>
  <c r="R17" i="1"/>
  <c r="Q17" i="1"/>
  <c r="R15" i="1"/>
  <c r="Q15" i="1"/>
  <c r="R14" i="1"/>
  <c r="Q14" i="1"/>
  <c r="R13" i="1"/>
  <c r="Q13" i="1"/>
  <c r="R11" i="1"/>
  <c r="Q11" i="1"/>
  <c r="R9" i="1"/>
  <c r="Q9" i="1"/>
  <c r="R8" i="1"/>
  <c r="Q8" i="1"/>
  <c r="R7" i="1"/>
  <c r="Q7" i="1"/>
  <c r="R6" i="1"/>
  <c r="Q6" i="1"/>
  <c r="R4" i="1"/>
  <c r="Q4" i="1"/>
  <c r="N72" i="1"/>
  <c r="N71" i="1"/>
  <c r="N70" i="1"/>
  <c r="N69" i="1"/>
  <c r="N68" i="1"/>
  <c r="N67" i="1"/>
  <c r="N66" i="1"/>
  <c r="N65" i="1"/>
  <c r="N63" i="1"/>
  <c r="N61" i="1"/>
  <c r="N60" i="1"/>
  <c r="N59" i="1"/>
  <c r="N57" i="1"/>
  <c r="N55" i="1"/>
  <c r="N54" i="1"/>
  <c r="N53" i="1"/>
  <c r="N51" i="1"/>
  <c r="N49" i="1"/>
  <c r="N47" i="1"/>
  <c r="N45" i="1"/>
  <c r="N43" i="1"/>
  <c r="N42" i="1"/>
  <c r="N40" i="1"/>
  <c r="N39" i="1"/>
  <c r="N38" i="1"/>
  <c r="N36" i="1"/>
  <c r="N35" i="1"/>
  <c r="N34" i="1"/>
  <c r="N32" i="1"/>
  <c r="N30" i="1"/>
  <c r="N28" i="1"/>
  <c r="N26" i="1"/>
  <c r="N25" i="1"/>
  <c r="N24" i="1"/>
  <c r="N22" i="1"/>
  <c r="N21" i="1"/>
  <c r="N20" i="1"/>
  <c r="N19" i="1"/>
  <c r="N17" i="1"/>
  <c r="N16" i="1"/>
  <c r="N15" i="1"/>
  <c r="N14" i="1"/>
  <c r="N13" i="1"/>
  <c r="N11" i="1"/>
  <c r="N10" i="1"/>
  <c r="N9" i="1"/>
  <c r="N8" i="1"/>
  <c r="N7" i="1"/>
  <c r="N6" i="1"/>
  <c r="N5" i="1"/>
  <c r="N4" i="1"/>
  <c r="W72" i="1"/>
  <c r="Z72" i="1" s="1"/>
  <c r="V72" i="1"/>
  <c r="M72" i="1"/>
  <c r="M71" i="1"/>
  <c r="W71" i="1" s="1"/>
  <c r="X71" i="1" s="1"/>
  <c r="AC72" i="1" s="1"/>
  <c r="W70" i="1"/>
  <c r="X70" i="1" s="1"/>
  <c r="AC71" i="1" s="1"/>
  <c r="V70" i="1"/>
  <c r="AB71" i="1" s="1"/>
  <c r="M70" i="1"/>
  <c r="W69" i="1"/>
  <c r="Z69" i="1" s="1"/>
  <c r="V69" i="1"/>
  <c r="AB70" i="1" s="1"/>
  <c r="M69" i="1"/>
  <c r="W68" i="1"/>
  <c r="X68" i="1" s="1"/>
  <c r="AC69" i="1" s="1"/>
  <c r="V68" i="1"/>
  <c r="AB69" i="1" s="1"/>
  <c r="M68" i="1"/>
  <c r="W67" i="1"/>
  <c r="X67" i="1" s="1"/>
  <c r="AC68" i="1" s="1"/>
  <c r="V67" i="1"/>
  <c r="AB68" i="1" s="1"/>
  <c r="M67" i="1"/>
  <c r="W66" i="1"/>
  <c r="Y66" i="1" s="1"/>
  <c r="V66" i="1"/>
  <c r="AB67" i="1" s="1"/>
  <c r="M66" i="1"/>
  <c r="W65" i="1"/>
  <c r="X65" i="1" s="1"/>
  <c r="AC66" i="1" s="1"/>
  <c r="V65" i="1"/>
  <c r="AB66" i="1" s="1"/>
  <c r="M65" i="1"/>
  <c r="M64" i="1"/>
  <c r="W63" i="1"/>
  <c r="X63" i="1" s="1"/>
  <c r="AC64" i="1" s="1"/>
  <c r="V63" i="1"/>
  <c r="AB64" i="1" s="1"/>
  <c r="M63" i="1"/>
  <c r="M62" i="1"/>
  <c r="V62" i="1" s="1"/>
  <c r="AB63" i="1" s="1"/>
  <c r="W61" i="1"/>
  <c r="Z61" i="1" s="1"/>
  <c r="V61" i="1"/>
  <c r="AB62" i="1" s="1"/>
  <c r="M61" i="1"/>
  <c r="M60" i="1"/>
  <c r="W59" i="1"/>
  <c r="X59" i="1" s="1"/>
  <c r="AC60" i="1" s="1"/>
  <c r="V59" i="1"/>
  <c r="AB60" i="1" s="1"/>
  <c r="M59" i="1"/>
  <c r="M58" i="1"/>
  <c r="V58" i="1" s="1"/>
  <c r="AB59" i="1" s="1"/>
  <c r="W57" i="1"/>
  <c r="Y57" i="1" s="1"/>
  <c r="V57" i="1"/>
  <c r="AB58" i="1" s="1"/>
  <c r="M57" i="1"/>
  <c r="M56" i="1"/>
  <c r="W55" i="1"/>
  <c r="X55" i="1" s="1"/>
  <c r="AC56" i="1" s="1"/>
  <c r="V55" i="1"/>
  <c r="AB56" i="1" s="1"/>
  <c r="M55" i="1"/>
  <c r="M54" i="1"/>
  <c r="V54" i="1" s="1"/>
  <c r="AB55" i="1" s="1"/>
  <c r="W53" i="1"/>
  <c r="X53" i="1" s="1"/>
  <c r="AC54" i="1" s="1"/>
  <c r="V53" i="1"/>
  <c r="AB54" i="1" s="1"/>
  <c r="M53" i="1"/>
  <c r="M52" i="1"/>
  <c r="W51" i="1"/>
  <c r="X51" i="1" s="1"/>
  <c r="AC52" i="1" s="1"/>
  <c r="V51" i="1"/>
  <c r="AB52" i="1" s="1"/>
  <c r="M51" i="1"/>
  <c r="M50" i="1"/>
  <c r="V50" i="1" s="1"/>
  <c r="N50" i="1" s="1"/>
  <c r="W49" i="1"/>
  <c r="Y49" i="1" s="1"/>
  <c r="V49" i="1"/>
  <c r="AB50" i="1" s="1"/>
  <c r="M49" i="1"/>
  <c r="W47" i="1"/>
  <c r="X47" i="1" s="1"/>
  <c r="AC48" i="1" s="1"/>
  <c r="V47" i="1"/>
  <c r="AB48" i="1" s="1"/>
  <c r="M47" i="1"/>
  <c r="M46" i="1"/>
  <c r="V46" i="1" s="1"/>
  <c r="AB47" i="1" s="1"/>
  <c r="W45" i="1"/>
  <c r="Z45" i="1" s="1"/>
  <c r="V45" i="1"/>
  <c r="AB46" i="1" s="1"/>
  <c r="M45" i="1"/>
  <c r="M44" i="1"/>
  <c r="W43" i="1"/>
  <c r="X43" i="1" s="1"/>
  <c r="AC44" i="1" s="1"/>
  <c r="V43" i="1"/>
  <c r="AB44" i="1" s="1"/>
  <c r="M43" i="1"/>
  <c r="W42" i="1"/>
  <c r="Y42" i="1" s="1"/>
  <c r="V42" i="1"/>
  <c r="AB43" i="1" s="1"/>
  <c r="M42" i="1"/>
  <c r="M41" i="1"/>
  <c r="W41" i="1" s="1"/>
  <c r="X41" i="1" s="1"/>
  <c r="N41" i="1" s="1"/>
  <c r="W40" i="1"/>
  <c r="Z40" i="1" s="1"/>
  <c r="V40" i="1"/>
  <c r="AB41" i="1" s="1"/>
  <c r="M40" i="1"/>
  <c r="M39" i="1"/>
  <c r="W39" i="1" s="1"/>
  <c r="X39" i="1" s="1"/>
  <c r="AC40" i="1" s="1"/>
  <c r="W38" i="1"/>
  <c r="X38" i="1" s="1"/>
  <c r="AC39" i="1" s="1"/>
  <c r="V38" i="1"/>
  <c r="AB39" i="1" s="1"/>
  <c r="M38" i="1"/>
  <c r="M37" i="1"/>
  <c r="W37" i="1" s="1"/>
  <c r="X37" i="1" s="1"/>
  <c r="AC38" i="1" s="1"/>
  <c r="W36" i="1"/>
  <c r="Y36" i="1" s="1"/>
  <c r="V36" i="1"/>
  <c r="AB37" i="1" s="1"/>
  <c r="M36" i="1"/>
  <c r="M35" i="1"/>
  <c r="W35" i="1" s="1"/>
  <c r="X35" i="1" s="1"/>
  <c r="AC36" i="1" s="1"/>
  <c r="W34" i="1"/>
  <c r="X34" i="1" s="1"/>
  <c r="AC35" i="1" s="1"/>
  <c r="V34" i="1"/>
  <c r="AB35" i="1" s="1"/>
  <c r="M34" i="1"/>
  <c r="M33" i="1"/>
  <c r="W33" i="1" s="1"/>
  <c r="X33" i="1" s="1"/>
  <c r="AC34" i="1" s="1"/>
  <c r="W32" i="1"/>
  <c r="Z32" i="1" s="1"/>
  <c r="V32" i="1"/>
  <c r="AB33" i="1" s="1"/>
  <c r="M32" i="1"/>
  <c r="M31" i="1"/>
  <c r="W31" i="1" s="1"/>
  <c r="X31" i="1" s="1"/>
  <c r="AC32" i="1" s="1"/>
  <c r="W30" i="1"/>
  <c r="Z30" i="1" s="1"/>
  <c r="AE31" i="1" s="1"/>
  <c r="V30" i="1"/>
  <c r="AB31" i="1" s="1"/>
  <c r="M30" i="1"/>
  <c r="M29" i="1"/>
  <c r="V29" i="1" s="1"/>
  <c r="AB30" i="1" s="1"/>
  <c r="W28" i="1"/>
  <c r="Z28" i="1" s="1"/>
  <c r="V28" i="1"/>
  <c r="AB29" i="1" s="1"/>
  <c r="M28" i="1"/>
  <c r="M27" i="1"/>
  <c r="W27" i="1" s="1"/>
  <c r="X27" i="1" s="1"/>
  <c r="AC28" i="1" s="1"/>
  <c r="W26" i="1"/>
  <c r="Z26" i="1" s="1"/>
  <c r="V26" i="1"/>
  <c r="AB27" i="1" s="1"/>
  <c r="M26" i="1"/>
  <c r="M25" i="1"/>
  <c r="W25" i="1" s="1"/>
  <c r="X25" i="1" s="1"/>
  <c r="W24" i="1"/>
  <c r="X24" i="1" s="1"/>
  <c r="AC25" i="1" s="1"/>
  <c r="V24" i="1"/>
  <c r="AB25" i="1" s="1"/>
  <c r="M24" i="1"/>
  <c r="M23" i="1"/>
  <c r="W23" i="1" s="1"/>
  <c r="X23" i="1" s="1"/>
  <c r="AC24" i="1" s="1"/>
  <c r="W22" i="1"/>
  <c r="Z22" i="1" s="1"/>
  <c r="AE23" i="1" s="1"/>
  <c r="V22" i="1"/>
  <c r="AB23" i="1" s="1"/>
  <c r="M22" i="1"/>
  <c r="W21" i="1"/>
  <c r="Y21" i="1" s="1"/>
  <c r="V21" i="1"/>
  <c r="AB22" i="1" s="1"/>
  <c r="M21" i="1"/>
  <c r="M20" i="1"/>
  <c r="W19" i="1"/>
  <c r="X19" i="1" s="1"/>
  <c r="AC20" i="1" s="1"/>
  <c r="V19" i="1"/>
  <c r="AB20" i="1" s="1"/>
  <c r="M19" i="1"/>
  <c r="M18" i="1"/>
  <c r="V18" i="1" s="1"/>
  <c r="W17" i="1"/>
  <c r="Z17" i="1" s="1"/>
  <c r="V17" i="1"/>
  <c r="AB18" i="1" s="1"/>
  <c r="M17" i="1"/>
  <c r="M16" i="1"/>
  <c r="W16" i="1" s="1"/>
  <c r="X16" i="1" s="1"/>
  <c r="W15" i="1"/>
  <c r="X15" i="1" s="1"/>
  <c r="AC16" i="1" s="1"/>
  <c r="V15" i="1"/>
  <c r="M15" i="1"/>
  <c r="W14" i="1"/>
  <c r="X14" i="1" s="1"/>
  <c r="V14" i="1"/>
  <c r="AB15" i="1" s="1"/>
  <c r="M14" i="1"/>
  <c r="W13" i="1"/>
  <c r="X13" i="1" s="1"/>
  <c r="AC14" i="1" s="1"/>
  <c r="V13" i="1"/>
  <c r="AB14" i="1" s="1"/>
  <c r="M13" i="1"/>
  <c r="M12" i="1"/>
  <c r="W12" i="1" s="1"/>
  <c r="X12" i="1" s="1"/>
  <c r="AC13" i="1" s="1"/>
  <c r="W11" i="1"/>
  <c r="X11" i="1" s="1"/>
  <c r="AC12" i="1" s="1"/>
  <c r="V11" i="1"/>
  <c r="AB12" i="1" s="1"/>
  <c r="M11" i="1"/>
  <c r="M10" i="1"/>
  <c r="V10" i="1" s="1"/>
  <c r="AB11" i="1" s="1"/>
  <c r="W9" i="1"/>
  <c r="X9" i="1" s="1"/>
  <c r="AC10" i="1" s="1"/>
  <c r="V9" i="1"/>
  <c r="AB10" i="1" s="1"/>
  <c r="M9" i="1"/>
  <c r="W8" i="1"/>
  <c r="Y8" i="1" s="1"/>
  <c r="V8" i="1"/>
  <c r="AB9" i="1" s="1"/>
  <c r="M8" i="1"/>
  <c r="W7" i="1"/>
  <c r="X7" i="1" s="1"/>
  <c r="AC8" i="1" s="1"/>
  <c r="V7" i="1"/>
  <c r="AB8" i="1" s="1"/>
  <c r="M7" i="1"/>
  <c r="W6" i="1"/>
  <c r="X6" i="1" s="1"/>
  <c r="V6" i="1"/>
  <c r="AB7" i="1" s="1"/>
  <c r="M6" i="1"/>
  <c r="M5" i="1"/>
  <c r="V5" i="1" s="1"/>
  <c r="V4" i="1"/>
  <c r="AB5" i="1" s="1"/>
  <c r="M4" i="1"/>
  <c r="AB16" i="1"/>
  <c r="AC17" i="1"/>
  <c r="W4" i="1"/>
  <c r="P16" i="1"/>
  <c r="P20" i="1"/>
  <c r="T20" i="1"/>
  <c r="S12" i="1"/>
  <c r="T41" i="1"/>
  <c r="S5" i="1"/>
  <c r="O54" i="1"/>
  <c r="P44" i="1"/>
  <c r="P29" i="1"/>
  <c r="S33" i="1"/>
  <c r="O56" i="1"/>
  <c r="P31" i="1"/>
  <c r="S31" i="1"/>
  <c r="O18" i="1"/>
  <c r="P46" i="1"/>
  <c r="T62" i="1"/>
  <c r="P48" i="1"/>
  <c r="P5" i="1"/>
  <c r="T44" i="1"/>
  <c r="S16" i="1"/>
  <c r="S50" i="1"/>
  <c r="T5" i="1"/>
  <c r="O41" i="1"/>
  <c r="P54" i="1"/>
  <c r="S39" i="1"/>
  <c r="O10" i="1"/>
  <c r="P18" i="1"/>
  <c r="T27" i="1"/>
  <c r="O27" i="1"/>
  <c r="P71" i="1"/>
  <c r="P37" i="1"/>
  <c r="S62" i="1"/>
  <c r="T37" i="1"/>
  <c r="T54" i="1"/>
  <c r="O60" i="1"/>
  <c r="O35" i="1"/>
  <c r="P39" i="1"/>
  <c r="T52" i="1"/>
  <c r="S35" i="1"/>
  <c r="O50" i="1"/>
  <c r="P58" i="1"/>
  <c r="S23" i="1"/>
  <c r="O37" i="1"/>
  <c r="T48" i="1"/>
  <c r="S25" i="1"/>
  <c r="P25" i="1"/>
  <c r="P33" i="1"/>
  <c r="S27" i="1"/>
  <c r="S54" i="1"/>
  <c r="T58" i="1"/>
  <c r="O64" i="1"/>
  <c r="O39" i="1"/>
  <c r="T56" i="1"/>
  <c r="T31" i="1"/>
  <c r="O20" i="1"/>
  <c r="P60" i="1"/>
  <c r="T46" i="1"/>
  <c r="P52" i="1"/>
  <c r="P12" i="1"/>
  <c r="S64" i="1"/>
  <c r="T35" i="1"/>
  <c r="T10" i="1"/>
  <c r="O44" i="1"/>
  <c r="O58" i="1"/>
  <c r="P10" i="1"/>
  <c r="S60" i="1"/>
  <c r="T50" i="1"/>
  <c r="O46" i="1"/>
  <c r="T29" i="1"/>
  <c r="S10" i="1"/>
  <c r="P64" i="1"/>
  <c r="S56" i="1"/>
  <c r="O52" i="1"/>
  <c r="P23" i="1"/>
  <c r="P35" i="1"/>
  <c r="S29" i="1"/>
  <c r="T39" i="1"/>
  <c r="T18" i="1"/>
  <c r="O48" i="1"/>
  <c r="O23" i="1"/>
  <c r="T16" i="1"/>
  <c r="S37" i="1"/>
  <c r="O33" i="1"/>
  <c r="T12" i="1"/>
  <c r="O16" i="1"/>
  <c r="P62" i="1"/>
  <c r="T60" i="1"/>
  <c r="S48" i="1"/>
  <c r="S71" i="1"/>
  <c r="T25" i="1"/>
  <c r="O62" i="1"/>
  <c r="O5" i="1"/>
  <c r="P27" i="1"/>
  <c r="S44" i="1"/>
  <c r="S41" i="1"/>
  <c r="P56" i="1"/>
  <c r="S18" i="1"/>
  <c r="O29" i="1"/>
  <c r="P50" i="1"/>
  <c r="T71" i="1"/>
  <c r="O71" i="1"/>
  <c r="P41" i="1"/>
  <c r="T64" i="1"/>
  <c r="S52" i="1"/>
  <c r="T23" i="1"/>
  <c r="T33" i="1"/>
  <c r="O12" i="1"/>
  <c r="O25" i="1"/>
  <c r="S46" i="1"/>
  <c r="S58" i="1"/>
  <c r="O31" i="1"/>
  <c r="S20" i="1"/>
  <c r="V25" i="1" l="1"/>
  <c r="AB26" i="1" s="1"/>
  <c r="Z14" i="1"/>
  <c r="AE15" i="1" s="1"/>
  <c r="Y17" i="1"/>
  <c r="Y55" i="1"/>
  <c r="AD56" i="1" s="1"/>
  <c r="Z8" i="1"/>
  <c r="AE9" i="1" s="1"/>
  <c r="Y47" i="1"/>
  <c r="AD48" i="1" s="1"/>
  <c r="Z55" i="1"/>
  <c r="AE56" i="1" s="1"/>
  <c r="Z47" i="1"/>
  <c r="AE48" i="1" s="1"/>
  <c r="Z36" i="1"/>
  <c r="Y69" i="1"/>
  <c r="AD70" i="1" s="1"/>
  <c r="Y11" i="1"/>
  <c r="AD12" i="1" s="1"/>
  <c r="W54" i="1"/>
  <c r="X54" i="1" s="1"/>
  <c r="AC55" i="1" s="1"/>
  <c r="Z11" i="1"/>
  <c r="AE12" i="1" s="1"/>
  <c r="Y6" i="1"/>
  <c r="AD7" i="1" s="1"/>
  <c r="Y22" i="1"/>
  <c r="AD23" i="1" s="1"/>
  <c r="Y40" i="1"/>
  <c r="AD41" i="1" s="1"/>
  <c r="V48" i="1"/>
  <c r="Z43" i="1"/>
  <c r="AE44" i="1" s="1"/>
  <c r="W29" i="1"/>
  <c r="X29" i="1" s="1"/>
  <c r="N29" i="1" s="1"/>
  <c r="R29" i="1" s="1"/>
  <c r="Y63" i="1"/>
  <c r="AD64" i="1" s="1"/>
  <c r="W10" i="1"/>
  <c r="X10" i="1" s="1"/>
  <c r="AC11" i="1" s="1"/>
  <c r="Z63" i="1"/>
  <c r="AE64" i="1" s="1"/>
  <c r="Y72" i="1"/>
  <c r="V33" i="1"/>
  <c r="N33" i="1" s="1"/>
  <c r="Q33" i="1" s="1"/>
  <c r="W58" i="1"/>
  <c r="X58" i="1" s="1"/>
  <c r="AC59" i="1" s="1"/>
  <c r="Y26" i="1"/>
  <c r="AD27" i="1" s="1"/>
  <c r="W46" i="1"/>
  <c r="X46" i="1" s="1"/>
  <c r="AC47" i="1" s="1"/>
  <c r="Z42" i="1"/>
  <c r="AE43" i="1" s="1"/>
  <c r="Z57" i="1"/>
  <c r="AE58" i="1" s="1"/>
  <c r="Y32" i="1"/>
  <c r="AD33" i="1" s="1"/>
  <c r="Z6" i="1"/>
  <c r="AE7" i="1" s="1"/>
  <c r="W5" i="1"/>
  <c r="X5" i="1" s="1"/>
  <c r="AC6" i="1" s="1"/>
  <c r="W18" i="1"/>
  <c r="X18" i="1" s="1"/>
  <c r="AC19" i="1" s="1"/>
  <c r="X30" i="1"/>
  <c r="AC31" i="1" s="1"/>
  <c r="W62" i="1"/>
  <c r="X62" i="1" s="1"/>
  <c r="AC63" i="1" s="1"/>
  <c r="Y14" i="1"/>
  <c r="AD15" i="1" s="1"/>
  <c r="Y28" i="1"/>
  <c r="AD29" i="1" s="1"/>
  <c r="Y43" i="1"/>
  <c r="AD44" i="1" s="1"/>
  <c r="Y51" i="1"/>
  <c r="AD52" i="1" s="1"/>
  <c r="AB51" i="1"/>
  <c r="W50" i="1"/>
  <c r="X50" i="1" s="1"/>
  <c r="AC51" i="1" s="1"/>
  <c r="Y15" i="1"/>
  <c r="AD16" i="1" s="1"/>
  <c r="Y30" i="1"/>
  <c r="AD31" i="1" s="1"/>
  <c r="Y45" i="1"/>
  <c r="AD46" i="1" s="1"/>
  <c r="Y61" i="1"/>
  <c r="AD62" i="1" s="1"/>
  <c r="Y67" i="1"/>
  <c r="AD68" i="1" s="1"/>
  <c r="V16" i="1"/>
  <c r="AB17" i="1" s="1"/>
  <c r="N62" i="1"/>
  <c r="Q62" i="1" s="1"/>
  <c r="Z15" i="1"/>
  <c r="AE16" i="1" s="1"/>
  <c r="Z67" i="1"/>
  <c r="AE68" i="1" s="1"/>
  <c r="N46" i="1"/>
  <c r="R46" i="1" s="1"/>
  <c r="AB19" i="1"/>
  <c r="AE41" i="1"/>
  <c r="Q25" i="1"/>
  <c r="Y25" i="1" s="1"/>
  <c r="AD26" i="1" s="1"/>
  <c r="R25" i="1"/>
  <c r="Q35" i="1"/>
  <c r="R35" i="1"/>
  <c r="R39" i="1"/>
  <c r="Q39" i="1"/>
  <c r="R71" i="1"/>
  <c r="Q71" i="1"/>
  <c r="R54" i="1"/>
  <c r="Q54" i="1"/>
  <c r="Q41" i="1"/>
  <c r="R41" i="1"/>
  <c r="R50" i="1"/>
  <c r="Q50" i="1"/>
  <c r="R16" i="1"/>
  <c r="Z16" i="1" s="1"/>
  <c r="AE17" i="1" s="1"/>
  <c r="Q16" i="1"/>
  <c r="R20" i="1"/>
  <c r="Z20" i="1" s="1"/>
  <c r="AE21" i="1" s="1"/>
  <c r="Q20" i="1"/>
  <c r="R60" i="1"/>
  <c r="Q60" i="1"/>
  <c r="Q29" i="1"/>
  <c r="Y29" i="1" s="1"/>
  <c r="AD30" i="1" s="1"/>
  <c r="R10" i="1"/>
  <c r="Q10" i="1"/>
  <c r="R5" i="1"/>
  <c r="Q5" i="1"/>
  <c r="AE29" i="1"/>
  <c r="AE27" i="1"/>
  <c r="AE67" i="1"/>
  <c r="X4" i="1"/>
  <c r="AC5" i="1" s="1"/>
  <c r="W44" i="1"/>
  <c r="X44" i="1" s="1"/>
  <c r="V44" i="1"/>
  <c r="AB45" i="1" s="1"/>
  <c r="W48" i="1"/>
  <c r="X48" i="1" s="1"/>
  <c r="AB49" i="1"/>
  <c r="AD18" i="1"/>
  <c r="AE18" i="1"/>
  <c r="X17" i="1"/>
  <c r="AC18" i="1" s="1"/>
  <c r="AD22" i="1"/>
  <c r="X21" i="1"/>
  <c r="AC22" i="1" s="1"/>
  <c r="AE22" i="1"/>
  <c r="V37" i="1"/>
  <c r="N37" i="1" s="1"/>
  <c r="R37" i="1" s="1"/>
  <c r="X42" i="1"/>
  <c r="AC43" i="1" s="1"/>
  <c r="V41" i="1"/>
  <c r="AB42" i="1" s="1"/>
  <c r="AD43" i="1"/>
  <c r="W56" i="1"/>
  <c r="X56" i="1" s="1"/>
  <c r="V56" i="1"/>
  <c r="AB57" i="1" s="1"/>
  <c r="W60" i="1"/>
  <c r="X60" i="1" s="1"/>
  <c r="AC61" i="1" s="1"/>
  <c r="V60" i="1"/>
  <c r="AB61" i="1" s="1"/>
  <c r="W64" i="1"/>
  <c r="X64" i="1" s="1"/>
  <c r="AC65" i="1" s="1"/>
  <c r="V64" i="1"/>
  <c r="X69" i="1"/>
  <c r="AC70" i="1" s="1"/>
  <c r="AE70" i="1"/>
  <c r="V20" i="1"/>
  <c r="AB21" i="1" s="1"/>
  <c r="W20" i="1"/>
  <c r="X20" i="1" s="1"/>
  <c r="AC21" i="1" s="1"/>
  <c r="X22" i="1"/>
  <c r="AC23" i="1" s="1"/>
  <c r="AD50" i="1"/>
  <c r="X49" i="1"/>
  <c r="AC50" i="1" s="1"/>
  <c r="AE50" i="1"/>
  <c r="AD67" i="1"/>
  <c r="W52" i="1"/>
  <c r="X52" i="1" s="1"/>
  <c r="AC53" i="1" s="1"/>
  <c r="V52" i="1"/>
  <c r="X45" i="1"/>
  <c r="AC46" i="1" s="1"/>
  <c r="AE46" i="1"/>
  <c r="X66" i="1"/>
  <c r="AC67" i="1" s="1"/>
  <c r="V12" i="1"/>
  <c r="X26" i="1"/>
  <c r="AC27" i="1" s="1"/>
  <c r="X57" i="1"/>
  <c r="AC58" i="1" s="1"/>
  <c r="AD58" i="1"/>
  <c r="X61" i="1"/>
  <c r="AC62" i="1" s="1"/>
  <c r="AE62" i="1"/>
  <c r="X8" i="1"/>
  <c r="AC9" i="1" s="1"/>
  <c r="V23" i="1"/>
  <c r="V27" i="1"/>
  <c r="X28" i="1"/>
  <c r="V31" i="1"/>
  <c r="N31" i="1" s="1"/>
  <c r="Q31" i="1" s="1"/>
  <c r="X32" i="1"/>
  <c r="AC33" i="1" s="1"/>
  <c r="V35" i="1"/>
  <c r="AB36" i="1" s="1"/>
  <c r="X36" i="1"/>
  <c r="AC37" i="1" s="1"/>
  <c r="V39" i="1"/>
  <c r="AB40" i="1" s="1"/>
  <c r="X40" i="1"/>
  <c r="AC41" i="1" s="1"/>
  <c r="V71" i="1"/>
  <c r="AB72" i="1" s="1"/>
  <c r="X72" i="1"/>
  <c r="AD37" i="1"/>
  <c r="AB6" i="1"/>
  <c r="AC29" i="1"/>
  <c r="AD9" i="1"/>
  <c r="AC26" i="1"/>
  <c r="AC42" i="1"/>
  <c r="AE33" i="1"/>
  <c r="AE37" i="1"/>
  <c r="AC7" i="1"/>
  <c r="AC15" i="1"/>
  <c r="R31" i="1" l="1"/>
  <c r="R33" i="1"/>
  <c r="N18" i="1"/>
  <c r="Q18" i="1" s="1"/>
  <c r="Y18" i="1" s="1"/>
  <c r="AD19" i="1" s="1"/>
  <c r="AC30" i="1"/>
  <c r="R62" i="1"/>
  <c r="AB32" i="1"/>
  <c r="AB34" i="1"/>
  <c r="AC49" i="1"/>
  <c r="N48" i="1"/>
  <c r="N58" i="1"/>
  <c r="AC45" i="1"/>
  <c r="N44" i="1"/>
  <c r="Q46" i="1"/>
  <c r="Y46" i="1" s="1"/>
  <c r="AD47" i="1" s="1"/>
  <c r="AC57" i="1"/>
  <c r="N56" i="1"/>
  <c r="Q56" i="1" s="1"/>
  <c r="Z37" i="1"/>
  <c r="AE38" i="1" s="1"/>
  <c r="Y31" i="1"/>
  <c r="AD32" i="1" s="1"/>
  <c r="Z29" i="1"/>
  <c r="AE30" i="1" s="1"/>
  <c r="Y71" i="1"/>
  <c r="AD72" i="1" s="1"/>
  <c r="Z71" i="1"/>
  <c r="AE72" i="1" s="1"/>
  <c r="Q37" i="1"/>
  <c r="AB53" i="1"/>
  <c r="N52" i="1"/>
  <c r="Z41" i="1"/>
  <c r="AE42" i="1" s="1"/>
  <c r="Y39" i="1"/>
  <c r="AD40" i="1" s="1"/>
  <c r="Z25" i="1"/>
  <c r="AE26" i="1" s="1"/>
  <c r="Y41" i="1"/>
  <c r="AD42" i="1" s="1"/>
  <c r="Z39" i="1"/>
  <c r="AE40" i="1" s="1"/>
  <c r="Y16" i="1"/>
  <c r="AD17" i="1" s="1"/>
  <c r="Y60" i="1"/>
  <c r="AD61" i="1" s="1"/>
  <c r="Y62" i="1"/>
  <c r="AD63" i="1" s="1"/>
  <c r="AB28" i="1"/>
  <c r="N27" i="1"/>
  <c r="AB13" i="1"/>
  <c r="N12" i="1"/>
  <c r="Z5" i="1"/>
  <c r="AE6" i="1" s="1"/>
  <c r="Z60" i="1"/>
  <c r="AE61" i="1" s="1"/>
  <c r="Z62" i="1"/>
  <c r="AE63" i="1" s="1"/>
  <c r="Z54" i="1"/>
  <c r="AE55" i="1" s="1"/>
  <c r="Y35" i="1"/>
  <c r="AD36" i="1" s="1"/>
  <c r="Y5" i="1"/>
  <c r="AD6" i="1" s="1"/>
  <c r="Y54" i="1"/>
  <c r="AD55" i="1" s="1"/>
  <c r="AB38" i="1"/>
  <c r="Y10" i="1"/>
  <c r="AD11" i="1" s="1"/>
  <c r="Y50" i="1"/>
  <c r="AD51" i="1" s="1"/>
  <c r="Z33" i="1"/>
  <c r="AE34" i="1" s="1"/>
  <c r="Z35" i="1"/>
  <c r="AE36" i="1" s="1"/>
  <c r="AB24" i="1"/>
  <c r="N23" i="1"/>
  <c r="Y20" i="1"/>
  <c r="AD21" i="1" s="1"/>
  <c r="Z31" i="1"/>
  <c r="AE32" i="1" s="1"/>
  <c r="AB65" i="1"/>
  <c r="N64" i="1"/>
  <c r="Z10" i="1"/>
  <c r="AE11" i="1" s="1"/>
  <c r="Z50" i="1"/>
  <c r="AE51" i="1" s="1"/>
  <c r="Y33" i="1"/>
  <c r="AD34" i="1" s="1"/>
  <c r="Z46" i="1"/>
  <c r="AE47" i="1" s="1"/>
  <c r="R18" i="1" l="1"/>
  <c r="Z18" i="1" s="1"/>
  <c r="AE19" i="1" s="1"/>
  <c r="R44" i="1"/>
  <c r="Z44" i="1" s="1"/>
  <c r="AE45" i="1" s="1"/>
  <c r="Q44" i="1"/>
  <c r="Y44" i="1" s="1"/>
  <c r="AD45" i="1" s="1"/>
  <c r="R58" i="1"/>
  <c r="Z58" i="1" s="1"/>
  <c r="AE59" i="1" s="1"/>
  <c r="Q58" i="1"/>
  <c r="Y58" i="1" s="1"/>
  <c r="AD59" i="1" s="1"/>
  <c r="Q48" i="1"/>
  <c r="Y48" i="1" s="1"/>
  <c r="AD49" i="1" s="1"/>
  <c r="R48" i="1"/>
  <c r="Z48" i="1" s="1"/>
  <c r="AE49" i="1" s="1"/>
  <c r="R56" i="1"/>
  <c r="Z56" i="1" s="1"/>
  <c r="AE57" i="1" s="1"/>
  <c r="Y56" i="1"/>
  <c r="AD57" i="1" s="1"/>
  <c r="R23" i="1"/>
  <c r="Z23" i="1" s="1"/>
  <c r="AE24" i="1" s="1"/>
  <c r="Q23" i="1"/>
  <c r="Y23" i="1" s="1"/>
  <c r="AD24" i="1" s="1"/>
  <c r="Q27" i="1"/>
  <c r="Y27" i="1" s="1"/>
  <c r="AD28" i="1" s="1"/>
  <c r="R27" i="1"/>
  <c r="Q52" i="1"/>
  <c r="R52" i="1"/>
  <c r="R12" i="1"/>
  <c r="Z12" i="1" s="1"/>
  <c r="AE13" i="1" s="1"/>
  <c r="Q12" i="1"/>
  <c r="Y12" i="1" s="1"/>
  <c r="AD13" i="1" s="1"/>
  <c r="R64" i="1"/>
  <c r="Q64" i="1"/>
  <c r="Y37" i="1"/>
  <c r="AD38" i="1" s="1"/>
  <c r="Z52" i="1" l="1"/>
  <c r="AE53" i="1" s="1"/>
  <c r="Y52" i="1"/>
  <c r="AD53" i="1" s="1"/>
  <c r="Z27" i="1"/>
  <c r="AE28" i="1" s="1"/>
  <c r="Y64" i="1"/>
  <c r="AD65" i="1" s="1"/>
  <c r="Z64" i="1"/>
  <c r="AE65" i="1" s="1"/>
</calcChain>
</file>

<file path=xl/sharedStrings.xml><?xml version="1.0" encoding="utf-8"?>
<sst xmlns="http://schemas.openxmlformats.org/spreadsheetml/2006/main" count="352" uniqueCount="53">
  <si>
    <t>isCcw</t>
  </si>
  <si>
    <t>Spiral A</t>
  </si>
  <si>
    <t>IsEntry</t>
  </si>
  <si>
    <t>Length</t>
  </si>
  <si>
    <t>Full Spiral Length</t>
  </si>
  <si>
    <t>End Radius</t>
  </si>
  <si>
    <t>Turned Angle</t>
  </si>
  <si>
    <t>End Direction</t>
  </si>
  <si>
    <t>End Easting</t>
  </si>
  <si>
    <t>End Northing</t>
  </si>
  <si>
    <t>Radius Change</t>
  </si>
  <si>
    <t>Direction Error</t>
  </si>
  <si>
    <t>Easting Error</t>
  </si>
  <si>
    <t>Northing Error</t>
  </si>
  <si>
    <t/>
  </si>
  <si>
    <t>Type</t>
  </si>
  <si>
    <t>Easting</t>
  </si>
  <si>
    <t>Northing</t>
  </si>
  <si>
    <t>Direction ccw from East</t>
  </si>
  <si>
    <t>Radius</t>
  </si>
  <si>
    <t>STRAIGHT</t>
  </si>
  <si>
    <t>CLOTHOID</t>
  </si>
  <si>
    <t>ARC</t>
  </si>
  <si>
    <t>Spiral Origin Easting</t>
  </si>
  <si>
    <t>Spiral Origin Northing</t>
  </si>
  <si>
    <t>Spiral Origin Direction</t>
  </si>
  <si>
    <t>Spiral Origin Projection</t>
  </si>
  <si>
    <t>Spiral Origin Offset</t>
  </si>
  <si>
    <t>Endpoint Projection</t>
  </si>
  <si>
    <t>Endpoint Offset</t>
  </si>
  <si>
    <t>IfcAlignment Data</t>
  </si>
  <si>
    <t>Spiral Calculations</t>
  </si>
  <si>
    <t>Element End Calculations</t>
  </si>
  <si>
    <t>Error Checks</t>
  </si>
  <si>
    <t>Start Chainage</t>
  </si>
  <si>
    <t>Tolerances</t>
  </si>
  <si>
    <t>Element Start Chainage</t>
  </si>
  <si>
    <t>Gradient</t>
  </si>
  <si>
    <t>Elevation</t>
  </si>
  <si>
    <t>PARABOLA</t>
  </si>
  <si>
    <t>End Gradient</t>
  </si>
  <si>
    <t>Curvature</t>
  </si>
  <si>
    <t>isConvex</t>
  </si>
  <si>
    <t>End Elevation</t>
  </si>
  <si>
    <t>Gradient Error</t>
  </si>
  <si>
    <t>Elevation Error</t>
  </si>
  <si>
    <t>Elevation of circle centre</t>
  </si>
  <si>
    <t>CIRCLE</t>
  </si>
  <si>
    <t>Length start to circle centre</t>
  </si>
  <si>
    <t>Circle End dY</t>
  </si>
  <si>
    <t>Circle End dX</t>
  </si>
  <si>
    <t>Circular Curve Calculations</t>
  </si>
  <si>
    <t>Testing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</si>
</sst>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2" fillId="3" borderId="0" xfId="0" applyFont="1" applyFill="1"/>
    <xf numFmtId="0" fontId="2" fillId="3" borderId="0" xfId="0" applyFont="1" applyFill="1" applyAlignment="1">
      <alignment wrapText="1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7" borderId="0" xfId="0" applyFont="1" applyFill="1"/>
    <xf numFmtId="0" fontId="2" fillId="7" borderId="0" xfId="0" applyFont="1" applyFill="1" applyAlignment="1">
      <alignment wrapText="1"/>
    </xf>
    <xf numFmtId="0" fontId="2" fillId="0" borderId="1" xfId="0" applyFont="1" applyBorder="1"/>
    <xf numFmtId="11" fontId="2" fillId="0" borderId="2" xfId="0" applyNumberFormat="1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5" xfId="0" applyFont="1" applyBorder="1" applyAlignment="1">
      <alignment wrapText="1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0" fontId="0" fillId="2" borderId="0" xfId="0" applyFill="1"/>
    <xf numFmtId="0" fontId="2" fillId="0" borderId="0" xfId="0" applyFont="1" applyFill="1" applyAlignment="1">
      <alignment wrapText="1"/>
    </xf>
    <xf numFmtId="164" fontId="0" fillId="0" borderId="0" xfId="0" applyNumberFormat="1"/>
    <xf numFmtId="164" fontId="2" fillId="7" borderId="0" xfId="0" applyNumberFormat="1" applyFont="1" applyFill="1"/>
    <xf numFmtId="164" fontId="2" fillId="7" borderId="0" xfId="0" applyNumberFormat="1" applyFont="1" applyFill="1" applyAlignment="1">
      <alignment wrapText="1"/>
    </xf>
    <xf numFmtId="3" fontId="0" fillId="0" borderId="0" xfId="0" applyNumberFormat="1"/>
  </cellXfs>
  <cellStyles count="1">
    <cellStyle name="Standard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91"/>
  <sheetViews>
    <sheetView tabSelected="1" topLeftCell="C16" zoomScaleNormal="100" workbookViewId="0">
      <selection activeCell="Y76" sqref="Y76"/>
    </sheetView>
  </sheetViews>
  <sheetFormatPr baseColWidth="10" defaultColWidth="9.140625" defaultRowHeight="12.75" x14ac:dyDescent="0.2"/>
  <cols>
    <col min="1" max="1" width="14.42578125" customWidth="1"/>
    <col min="2" max="2" width="10.140625" bestFit="1" customWidth="1"/>
    <col min="3" max="3" width="11.7109375" customWidth="1"/>
    <col min="4" max="4" width="14.85546875" customWidth="1"/>
    <col min="5" max="5" width="13.28515625" customWidth="1"/>
    <col min="6" max="6" width="10.5703125" customWidth="1"/>
    <col min="7" max="7" width="13" customWidth="1"/>
    <col min="8" max="8" width="12.42578125" customWidth="1"/>
    <col min="9" max="9" width="11.28515625" customWidth="1"/>
    <col min="10" max="10" width="12.28515625" customWidth="1"/>
    <col min="11" max="11" width="0" hidden="1" customWidth="1"/>
    <col min="13" max="13" width="12.140625" customWidth="1"/>
    <col min="14" max="14" width="14.42578125" customWidth="1"/>
    <col min="15" max="15" width="16.140625" customWidth="1"/>
    <col min="16" max="16" width="14.42578125" customWidth="1"/>
    <col min="17" max="17" width="13.42578125" customWidth="1"/>
    <col min="18" max="18" width="14.140625" customWidth="1"/>
    <col min="19" max="19" width="15.7109375" customWidth="1"/>
    <col min="20" max="21" width="14.140625" customWidth="1"/>
    <col min="22" max="22" width="11.42578125" customWidth="1"/>
    <col min="23" max="23" width="11.7109375" customWidth="1"/>
    <col min="24" max="24" width="13.5703125" customWidth="1"/>
    <col min="25" max="25" width="11.140625" customWidth="1"/>
    <col min="26" max="27" width="12.42578125" customWidth="1"/>
    <col min="28" max="28" width="11.5703125" customWidth="1"/>
    <col min="29" max="29" width="13" customWidth="1"/>
    <col min="30" max="30" width="11.7109375" customWidth="1"/>
    <col min="31" max="31" width="12.42578125" customWidth="1"/>
    <col min="34" max="34" width="12.42578125" bestFit="1" customWidth="1"/>
  </cols>
  <sheetData>
    <row r="1" spans="1:31" ht="18.75" thickBot="1" x14ac:dyDescent="0.3">
      <c r="B1" s="1"/>
      <c r="D1" s="1"/>
      <c r="E1" s="1"/>
      <c r="G1" s="1"/>
      <c r="H1" s="1" t="s">
        <v>34</v>
      </c>
      <c r="I1" s="1"/>
      <c r="J1" s="1">
        <v>1000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7" t="s">
        <v>35</v>
      </c>
      <c r="AC1" s="2">
        <v>9.9999999999999995E-7</v>
      </c>
      <c r="AD1" s="1">
        <v>1E-4</v>
      </c>
      <c r="AE1" s="1"/>
    </row>
    <row r="2" spans="1:31" ht="18" x14ac:dyDescent="0.25">
      <c r="B2" s="7" t="s">
        <v>30</v>
      </c>
      <c r="C2" s="7"/>
      <c r="D2" s="7"/>
      <c r="E2" s="7"/>
      <c r="F2" s="7"/>
      <c r="G2" s="7"/>
      <c r="H2" s="7"/>
      <c r="I2" s="7"/>
      <c r="J2" s="7"/>
      <c r="K2" s="1"/>
      <c r="L2" s="1"/>
      <c r="M2" s="5" t="s">
        <v>31</v>
      </c>
      <c r="N2" s="5"/>
      <c r="O2" s="5"/>
      <c r="P2" s="5"/>
      <c r="Q2" s="5"/>
      <c r="R2" s="5"/>
      <c r="S2" s="5"/>
      <c r="T2" s="5"/>
      <c r="U2" s="1"/>
      <c r="V2" s="12" t="s">
        <v>32</v>
      </c>
      <c r="W2" s="12"/>
      <c r="X2" s="12"/>
      <c r="Y2" s="12"/>
      <c r="Z2" s="12"/>
      <c r="AA2" s="1"/>
      <c r="AB2" s="14" t="s">
        <v>33</v>
      </c>
      <c r="AC2" s="15"/>
      <c r="AD2" s="16"/>
      <c r="AE2" s="17"/>
    </row>
    <row r="3" spans="1:31" ht="72" x14ac:dyDescent="0.25">
      <c r="A3" s="6" t="s">
        <v>36</v>
      </c>
      <c r="B3" s="8" t="s">
        <v>15</v>
      </c>
      <c r="C3" s="8" t="s">
        <v>16</v>
      </c>
      <c r="D3" s="8" t="s">
        <v>17</v>
      </c>
      <c r="E3" s="8" t="s">
        <v>18</v>
      </c>
      <c r="F3" s="8" t="s">
        <v>19</v>
      </c>
      <c r="G3" s="8" t="s">
        <v>0</v>
      </c>
      <c r="H3" s="8" t="s">
        <v>1</v>
      </c>
      <c r="I3" s="8" t="s">
        <v>2</v>
      </c>
      <c r="J3" s="8" t="s">
        <v>3</v>
      </c>
      <c r="K3" s="3"/>
      <c r="L3" s="3"/>
      <c r="M3" s="6" t="s">
        <v>4</v>
      </c>
      <c r="N3" s="6" t="s">
        <v>25</v>
      </c>
      <c r="O3" s="6" t="s">
        <v>26</v>
      </c>
      <c r="P3" s="6" t="s">
        <v>27</v>
      </c>
      <c r="Q3" s="6" t="s">
        <v>23</v>
      </c>
      <c r="R3" s="6" t="s">
        <v>24</v>
      </c>
      <c r="S3" s="6" t="s">
        <v>28</v>
      </c>
      <c r="T3" s="6" t="s">
        <v>29</v>
      </c>
      <c r="V3" s="13" t="s">
        <v>5</v>
      </c>
      <c r="W3" s="13" t="s">
        <v>6</v>
      </c>
      <c r="X3" s="13" t="s">
        <v>7</v>
      </c>
      <c r="Y3" s="13" t="s">
        <v>8</v>
      </c>
      <c r="Z3" s="13" t="s">
        <v>9</v>
      </c>
      <c r="AA3" s="3"/>
      <c r="AB3" s="18" t="s">
        <v>10</v>
      </c>
      <c r="AC3" s="19" t="s">
        <v>11</v>
      </c>
      <c r="AD3" s="19" t="s">
        <v>12</v>
      </c>
      <c r="AE3" s="20" t="s">
        <v>13</v>
      </c>
    </row>
    <row r="4" spans="1:31" x14ac:dyDescent="0.2">
      <c r="A4">
        <f>J1</f>
        <v>1000</v>
      </c>
      <c r="B4" s="10" t="s">
        <v>20</v>
      </c>
      <c r="C4" s="10">
        <v>74526.662500000006</v>
      </c>
      <c r="D4" s="10">
        <v>631980.76879999996</v>
      </c>
      <c r="E4" s="10">
        <v>-2.6100066732051035</v>
      </c>
      <c r="F4" s="10">
        <v>0</v>
      </c>
      <c r="G4" s="10" t="b">
        <v>0</v>
      </c>
      <c r="H4" s="10">
        <v>0</v>
      </c>
      <c r="I4" s="10" t="s">
        <v>14</v>
      </c>
      <c r="J4" s="10">
        <v>42.101799999999912</v>
      </c>
      <c r="K4" s="4"/>
      <c r="L4" s="4"/>
      <c r="M4" s="11">
        <f t="shared" ref="M4:M35" si="0">IF(I4=FALSE,H4*H4/F4,IF(I4=TRUE,IF(F4&lt;&gt;0,H4*H4/F4+J4,J4),0))</f>
        <v>0</v>
      </c>
      <c r="N4" s="11" t="str">
        <f t="shared" ref="N4:N35" si="1">IF(I4=TRUE,IF(F4=0,E4,X4-M4*M4/(H4*H4*2)*IF(G4=TRUE,1,-1)),IF(I4=FALSE,IF(V4=0,X4,E4+M4*M4/(H4*H4*2)*IF(G4=TRUE,1,-1)),""))</f>
        <v/>
      </c>
      <c r="O4" s="11" t="str">
        <f>IF(B4="CLOTHOID",IF(I4=TRUE,-clothoidx(H4,M4-J4),clothoidx(H4,M4)),"")</f>
        <v/>
      </c>
      <c r="P4" s="11" t="str">
        <f>IF(B4="CLOTHOID",IF(I4=TRUE,clothoidy(H4,M4-J4),clothoidy(H4,M4))*IF(G4=TRUE,-1,1),"")</f>
        <v/>
      </c>
      <c r="Q4" s="11" t="str">
        <f t="shared" ref="Q4:Q35" si="2">IF(B4="CLOTHOID",C4+O4*COS(N4)-P4*SIN(N4),"")</f>
        <v/>
      </c>
      <c r="R4" s="11" t="str">
        <f t="shared" ref="R4:R35" si="3">IF(B4="CLOTHOID",D4+O4*SIN(N4)+P4*COS(N4),"")</f>
        <v/>
      </c>
      <c r="S4" s="11" t="str">
        <f>IF(B4="CLOTHOID",IF(I4=TRUE,clothoidx(H4,M4),-clothoidx(H4,M4-J4)),"")</f>
        <v/>
      </c>
      <c r="T4" s="11" t="str">
        <f>IF(B4="CLOTHOID",IF(I4=TRUE,clothoidy(H4,M4),clothoidy(H4,M4-J4))*IF(G4=TRUE,1,-1),"")</f>
        <v/>
      </c>
      <c r="V4" s="9">
        <f t="shared" ref="V4:V35" si="4">IF(B4="ARC",F4,IF(I4=TRUE,H4*H4/M4,IF(I4=FALSE,IF(ABS(M4-J4)&lt;$AD$1,0,H4*H4/(M4-J4)),0)))</f>
        <v>0</v>
      </c>
      <c r="W4" s="9">
        <f t="shared" ref="W4:W35" si="5">IF(B4="STRAIGHT",0,IF(B4="ARC",J4/F4,IF(B4="CLOTHOID",(J4*(2*M4-J4)/(2*H4*H4)),"UNDEFINED")))</f>
        <v>0</v>
      </c>
      <c r="X4" s="9">
        <f t="shared" ref="X4:X35" si="6">E4+W4*IF(G4=TRUE,1,-1)</f>
        <v>-2.6100066732051035</v>
      </c>
      <c r="Y4" s="9">
        <f t="shared" ref="Y4:Y35" si="7">IF(B4="STRAIGHT",J4*COS(E4)+C4,IF(B4="ARC",2*F4*SIN(W4/2)*COS(W4/2*IF(G4=TRUE,1,-1)+E4)+C4,Q4+S4*COS(N4)-T4*SIN(N4)))</f>
        <v>74490.370570740328</v>
      </c>
      <c r="Z4" s="9">
        <f t="shared" ref="Z4:Z35" si="8">IF(B4="STRAIGHT",J4*SIN(E4)+D4,IF(B4="ARC",2*F4*SIN(W4/2)*SIN(W4/2*IF(G4=TRUE,1,-1)+E4)+D4,R4+S4*SIN(N4)+T4*COS(N4)))</f>
        <v>631959.42735127104</v>
      </c>
      <c r="AB4" s="21"/>
      <c r="AC4" s="22"/>
      <c r="AD4" s="22"/>
      <c r="AE4" s="23"/>
    </row>
    <row r="5" spans="1:31" x14ac:dyDescent="0.2">
      <c r="A5">
        <f>A4+J4</f>
        <v>1042.1017999999999</v>
      </c>
      <c r="B5" s="10" t="s">
        <v>21</v>
      </c>
      <c r="C5" s="10">
        <v>74490.370599999995</v>
      </c>
      <c r="D5" s="10">
        <v>631959.42740000004</v>
      </c>
      <c r="E5" s="10">
        <v>-2.6100066732051035</v>
      </c>
      <c r="F5" s="10">
        <v>0</v>
      </c>
      <c r="G5" s="10" t="b">
        <v>0</v>
      </c>
      <c r="H5" s="10">
        <v>351.1986617286575</v>
      </c>
      <c r="I5" s="10" t="b">
        <v>1</v>
      </c>
      <c r="J5" s="10">
        <v>27.409000000000106</v>
      </c>
      <c r="K5" s="4"/>
      <c r="L5" s="4"/>
      <c r="M5" s="11">
        <f t="shared" si="0"/>
        <v>27.409000000000106</v>
      </c>
      <c r="N5" s="11">
        <f t="shared" si="1"/>
        <v>-2.6100066732051035</v>
      </c>
      <c r="O5" s="11">
        <f>IF(B5="CLOTHOID",IF(I5=TRUE,-clothoidx(H5,M5-J5),clothoidx(H5,M5)),"")</f>
        <v>0</v>
      </c>
      <c r="P5" s="11">
        <f>IF(B5="CLOTHOID",IF(I5=TRUE,clothoidy(H5,M5-J5),clothoidy(H5,M5))*IF(G5=TRUE,-1,1),"")</f>
        <v>0</v>
      </c>
      <c r="Q5" s="11">
        <f t="shared" si="2"/>
        <v>74490.370599999995</v>
      </c>
      <c r="R5" s="11">
        <f t="shared" si="3"/>
        <v>631959.42740000004</v>
      </c>
      <c r="S5" s="11">
        <f>IF(B5="CLOTHOID",IF(I5=TRUE,clothoidx(H5,M5),-clothoidx(H5,M5-J5)),"")</f>
        <v>27.408974578887538</v>
      </c>
      <c r="T5" s="11">
        <f>IF(B5="CLOTHOID",IF(I5=TRUE,clothoidy(H5,M5),clothoidy(H5,M5-J5))*IF(G5=TRUE,1,-1),"")</f>
        <v>-2.7824177159596241E-2</v>
      </c>
      <c r="V5" s="9">
        <f t="shared" si="4"/>
        <v>4499.9999999999827</v>
      </c>
      <c r="W5" s="9">
        <f t="shared" si="5"/>
        <v>3.0454444444444682E-3</v>
      </c>
      <c r="X5" s="9">
        <f t="shared" si="6"/>
        <v>-2.613052117649548</v>
      </c>
      <c r="Y5" s="9">
        <f t="shared" si="7"/>
        <v>74466.729844147572</v>
      </c>
      <c r="Z5" s="9">
        <f t="shared" si="8"/>
        <v>631945.55774519616</v>
      </c>
      <c r="AB5" s="21">
        <f t="shared" ref="AB5:AB36" si="9">F5-V4</f>
        <v>0</v>
      </c>
      <c r="AC5" s="22">
        <f t="shared" ref="AC5:AC36" si="10">E5-X4</f>
        <v>0</v>
      </c>
      <c r="AD5" s="22">
        <f t="shared" ref="AD5:AD36" si="11">C5-Y4</f>
        <v>2.9259666916914284E-5</v>
      </c>
      <c r="AE5" s="23">
        <f t="shared" ref="AE5:AE36" si="12">D5-Z4</f>
        <v>4.8729008994996548E-5</v>
      </c>
    </row>
    <row r="6" spans="1:31" x14ac:dyDescent="0.2">
      <c r="A6">
        <f t="shared" ref="A6:A69" si="13">A5+J5</f>
        <v>1069.5108</v>
      </c>
      <c r="B6" s="10" t="s">
        <v>22</v>
      </c>
      <c r="C6" s="10">
        <v>74466.729800000001</v>
      </c>
      <c r="D6" s="10">
        <v>631945.5577</v>
      </c>
      <c r="E6" s="10">
        <v>-2.6130516732051037</v>
      </c>
      <c r="F6" s="10">
        <v>4500</v>
      </c>
      <c r="G6" s="10" t="b">
        <v>0</v>
      </c>
      <c r="H6" s="10">
        <v>0</v>
      </c>
      <c r="I6" s="10" t="s">
        <v>14</v>
      </c>
      <c r="J6" s="10">
        <v>861.2011</v>
      </c>
      <c r="K6" s="4"/>
      <c r="L6" s="4"/>
      <c r="M6" s="11">
        <f t="shared" si="0"/>
        <v>0</v>
      </c>
      <c r="N6" s="11" t="str">
        <f t="shared" si="1"/>
        <v/>
      </c>
      <c r="O6" s="11" t="str">
        <f>IF(B6="CLOTHOID",IF(I6=TRUE,-clothoidx(H6,M6-J6),clothoidx(H6,M6)),"")</f>
        <v/>
      </c>
      <c r="P6" s="11" t="str">
        <f>IF(B6="CLOTHOID",IF(I6=TRUE,clothoidy(H6,M6-J6),clothoidy(H6,M6))*IF(G6=TRUE,-1,1),"")</f>
        <v/>
      </c>
      <c r="Q6" s="11" t="str">
        <f t="shared" si="2"/>
        <v/>
      </c>
      <c r="R6" s="11" t="str">
        <f t="shared" si="3"/>
        <v/>
      </c>
      <c r="S6" s="11" t="str">
        <f>IF(B6="CLOTHOID",IF(I6=TRUE,clothoidx(H6,M6),-clothoidx(H6,M6-J6)),"")</f>
        <v/>
      </c>
      <c r="T6" s="11" t="str">
        <f>IF(B6="CLOTHOID",IF(I6=TRUE,clothoidy(H6,M6),clothoidy(H6,M6-J6))*IF(G6=TRUE,1,-1),"")</f>
        <v/>
      </c>
      <c r="V6" s="9">
        <f t="shared" si="4"/>
        <v>4500</v>
      </c>
      <c r="W6" s="9">
        <f t="shared" si="5"/>
        <v>0.19137802222222222</v>
      </c>
      <c r="X6" s="9">
        <f t="shared" si="6"/>
        <v>-2.8044296954273258</v>
      </c>
      <c r="Y6" s="9">
        <f t="shared" si="7"/>
        <v>73686.147056347007</v>
      </c>
      <c r="Z6" s="9">
        <f t="shared" si="8"/>
        <v>631584.86806554801</v>
      </c>
      <c r="AB6" s="21">
        <f t="shared" si="9"/>
        <v>1.7280399333685637E-11</v>
      </c>
      <c r="AC6" s="22">
        <f t="shared" si="10"/>
        <v>4.4444444435853825E-7</v>
      </c>
      <c r="AD6" s="22">
        <f t="shared" si="11"/>
        <v>-4.4147571315988898E-5</v>
      </c>
      <c r="AE6" s="23">
        <f t="shared" si="12"/>
        <v>-4.5196153223514557E-5</v>
      </c>
    </row>
    <row r="7" spans="1:31" x14ac:dyDescent="0.2">
      <c r="A7">
        <f t="shared" si="13"/>
        <v>1930.7119</v>
      </c>
      <c r="B7" s="10" t="s">
        <v>20</v>
      </c>
      <c r="C7" s="10">
        <v>73686.147100000002</v>
      </c>
      <c r="D7" s="10">
        <v>631584.86809999996</v>
      </c>
      <c r="E7" s="10">
        <v>-2.8044296732051031</v>
      </c>
      <c r="F7" s="10">
        <v>0</v>
      </c>
      <c r="G7" s="10" t="b">
        <v>0</v>
      </c>
      <c r="H7" s="10">
        <v>0</v>
      </c>
      <c r="I7" s="10" t="s">
        <v>14</v>
      </c>
      <c r="J7" s="10">
        <v>6.2802999999998974</v>
      </c>
      <c r="K7" s="4"/>
      <c r="L7" s="4"/>
      <c r="M7" s="11">
        <f t="shared" si="0"/>
        <v>0</v>
      </c>
      <c r="N7" s="11" t="str">
        <f t="shared" si="1"/>
        <v/>
      </c>
      <c r="O7" s="11" t="str">
        <f>IF(B7="CLOTHOID",IF(I7=TRUE,-clothoidx(H7,M7-J7),clothoidx(H7,M7)),"")</f>
        <v/>
      </c>
      <c r="P7" s="11" t="str">
        <f>IF(B7="CLOTHOID",IF(I7=TRUE,clothoidy(H7,M7-J7),clothoidy(H7,M7))*IF(G7=TRUE,-1,1),"")</f>
        <v/>
      </c>
      <c r="Q7" s="11" t="str">
        <f t="shared" si="2"/>
        <v/>
      </c>
      <c r="R7" s="11" t="str">
        <f t="shared" si="3"/>
        <v/>
      </c>
      <c r="S7" s="11" t="str">
        <f>IF(B7="CLOTHOID",IF(I7=TRUE,clothoidx(H7,M7),-clothoidx(H7,M7-J7)),"")</f>
        <v/>
      </c>
      <c r="T7" s="11" t="str">
        <f>IF(B7="CLOTHOID",IF(I7=TRUE,clothoidy(H7,M7),clothoidy(H7,M7-J7))*IF(G7=TRUE,1,-1),"")</f>
        <v/>
      </c>
      <c r="V7" s="9">
        <f t="shared" si="4"/>
        <v>0</v>
      </c>
      <c r="W7" s="9">
        <f t="shared" si="5"/>
        <v>0</v>
      </c>
      <c r="X7" s="9">
        <f t="shared" si="6"/>
        <v>-2.8044296732051031</v>
      </c>
      <c r="Y7" s="9">
        <f t="shared" si="7"/>
        <v>73680.220399858285</v>
      </c>
      <c r="Z7" s="9">
        <f t="shared" si="8"/>
        <v>631582.79050679621</v>
      </c>
      <c r="AB7" s="21">
        <f t="shared" si="9"/>
        <v>-4500</v>
      </c>
      <c r="AC7" s="22">
        <f t="shared" si="10"/>
        <v>2.2222222728629504E-8</v>
      </c>
      <c r="AD7" s="22">
        <f t="shared" si="11"/>
        <v>4.3652995373122394E-5</v>
      </c>
      <c r="AE7" s="23">
        <f t="shared" si="12"/>
        <v>3.4451950341463089E-5</v>
      </c>
    </row>
    <row r="8" spans="1:31" x14ac:dyDescent="0.2">
      <c r="A8">
        <f t="shared" si="13"/>
        <v>1936.9921999999999</v>
      </c>
      <c r="B8" s="10" t="s">
        <v>22</v>
      </c>
      <c r="C8" s="10">
        <v>73680.220300000001</v>
      </c>
      <c r="D8" s="10">
        <v>631582.7905</v>
      </c>
      <c r="E8" s="10">
        <v>-2.8044296732051031</v>
      </c>
      <c r="F8" s="10">
        <v>4600</v>
      </c>
      <c r="G8" s="10" t="b">
        <v>0</v>
      </c>
      <c r="H8" s="10">
        <v>0</v>
      </c>
      <c r="I8" s="10" t="s">
        <v>14</v>
      </c>
      <c r="J8" s="10">
        <v>848.36210000000005</v>
      </c>
      <c r="K8" s="4"/>
      <c r="L8" s="4"/>
      <c r="M8" s="11">
        <f t="shared" si="0"/>
        <v>0</v>
      </c>
      <c r="N8" s="11" t="str">
        <f t="shared" si="1"/>
        <v/>
      </c>
      <c r="O8" s="11" t="str">
        <f>IF(B8="CLOTHOID",IF(I8=TRUE,-clothoidx(H8,M8-J8),clothoidx(H8,M8)),"")</f>
        <v/>
      </c>
      <c r="P8" s="11" t="str">
        <f>IF(B8="CLOTHOID",IF(I8=TRUE,clothoidy(H8,M8-J8),clothoidy(H8,M8))*IF(G8=TRUE,-1,1),"")</f>
        <v/>
      </c>
      <c r="Q8" s="11" t="str">
        <f t="shared" si="2"/>
        <v/>
      </c>
      <c r="R8" s="11" t="str">
        <f t="shared" si="3"/>
        <v/>
      </c>
      <c r="S8" s="11" t="str">
        <f>IF(B8="CLOTHOID",IF(I8=TRUE,clothoidx(H8,M8),-clothoidx(H8,M8-J8)),"")</f>
        <v/>
      </c>
      <c r="T8" s="11" t="str">
        <f>IF(B8="CLOTHOID",IF(I8=TRUE,clothoidy(H8,M8),clothoidy(H8,M8-J8))*IF(G8=TRUE,1,-1),"")</f>
        <v/>
      </c>
      <c r="V8" s="9">
        <f t="shared" si="4"/>
        <v>4600</v>
      </c>
      <c r="W8" s="9">
        <f t="shared" si="5"/>
        <v>0.18442654347826087</v>
      </c>
      <c r="X8" s="9">
        <f t="shared" si="6"/>
        <v>-2.9888562166833639</v>
      </c>
      <c r="Y8" s="9">
        <f t="shared" si="7"/>
        <v>72858.348139760885</v>
      </c>
      <c r="Z8" s="9">
        <f t="shared" si="8"/>
        <v>631377.34774394438</v>
      </c>
      <c r="AB8" s="21">
        <f t="shared" si="9"/>
        <v>4600</v>
      </c>
      <c r="AC8" s="22">
        <f t="shared" si="10"/>
        <v>0</v>
      </c>
      <c r="AD8" s="22">
        <f t="shared" si="11"/>
        <v>-9.9858283647336066E-5</v>
      </c>
      <c r="AE8" s="23">
        <f t="shared" si="12"/>
        <v>-6.7962100729346275E-6</v>
      </c>
    </row>
    <row r="9" spans="1:31" x14ac:dyDescent="0.2">
      <c r="A9">
        <f t="shared" si="13"/>
        <v>2785.3543</v>
      </c>
      <c r="B9" s="10" t="s">
        <v>20</v>
      </c>
      <c r="C9" s="10">
        <v>72858.348200000008</v>
      </c>
      <c r="D9" s="10">
        <v>631377.34779999999</v>
      </c>
      <c r="E9" s="10">
        <v>-2.9888566732051034</v>
      </c>
      <c r="F9" s="10">
        <v>0</v>
      </c>
      <c r="G9" s="10" t="b">
        <v>0</v>
      </c>
      <c r="H9" s="10">
        <v>0</v>
      </c>
      <c r="I9" s="10" t="s">
        <v>14</v>
      </c>
      <c r="J9" s="10">
        <v>124.2186999999999</v>
      </c>
      <c r="K9" s="4"/>
      <c r="L9" s="4"/>
      <c r="M9" s="11">
        <f t="shared" si="0"/>
        <v>0</v>
      </c>
      <c r="N9" s="11" t="str">
        <f t="shared" si="1"/>
        <v/>
      </c>
      <c r="O9" s="11" t="str">
        <f>IF(B9="CLOTHOID",IF(I9=TRUE,-clothoidx(H9,M9-J9),clothoidx(H9,M9)),"")</f>
        <v/>
      </c>
      <c r="P9" s="11" t="str">
        <f>IF(B9="CLOTHOID",IF(I9=TRUE,clothoidy(H9,M9-J9),clothoidy(H9,M9))*IF(G9=TRUE,-1,1),"")</f>
        <v/>
      </c>
      <c r="Q9" s="11" t="str">
        <f t="shared" si="2"/>
        <v/>
      </c>
      <c r="R9" s="11" t="str">
        <f t="shared" si="3"/>
        <v/>
      </c>
      <c r="S9" s="11" t="str">
        <f>IF(B9="CLOTHOID",IF(I9=TRUE,clothoidx(H9,M9),-clothoidx(H9,M9-J9)),"")</f>
        <v/>
      </c>
      <c r="T9" s="11" t="str">
        <f>IF(B9="CLOTHOID",IF(I9=TRUE,clothoidy(H9,M9),clothoidy(H9,M9-J9))*IF(G9=TRUE,1,-1),"")</f>
        <v/>
      </c>
      <c r="V9" s="9">
        <f t="shared" si="4"/>
        <v>0</v>
      </c>
      <c r="W9" s="9">
        <f t="shared" si="5"/>
        <v>0</v>
      </c>
      <c r="X9" s="9">
        <f t="shared" si="6"/>
        <v>-2.9888566732051034</v>
      </c>
      <c r="Y9" s="9">
        <f t="shared" si="7"/>
        <v>72735.575589774715</v>
      </c>
      <c r="Z9" s="9">
        <f t="shared" si="8"/>
        <v>631358.44881568442</v>
      </c>
      <c r="AB9" s="21">
        <f t="shared" si="9"/>
        <v>-4600</v>
      </c>
      <c r="AC9" s="22">
        <f t="shared" si="10"/>
        <v>-4.5652173952248631E-7</v>
      </c>
      <c r="AD9" s="22">
        <f t="shared" si="11"/>
        <v>6.0239122831262648E-5</v>
      </c>
      <c r="AE9" s="23">
        <f t="shared" si="12"/>
        <v>5.605560727417469E-5</v>
      </c>
    </row>
    <row r="10" spans="1:31" x14ac:dyDescent="0.2">
      <c r="A10">
        <f t="shared" si="13"/>
        <v>2909.5729999999999</v>
      </c>
      <c r="B10" s="10" t="s">
        <v>21</v>
      </c>
      <c r="C10" s="10">
        <v>72735.575599999996</v>
      </c>
      <c r="D10" s="10">
        <v>631358.44880000001</v>
      </c>
      <c r="E10" s="10">
        <v>-2.9888566732051034</v>
      </c>
      <c r="F10" s="10">
        <v>0</v>
      </c>
      <c r="G10" s="10" t="b">
        <v>1</v>
      </c>
      <c r="H10" s="10">
        <v>353.62409420173844</v>
      </c>
      <c r="I10" s="10" t="b">
        <v>1</v>
      </c>
      <c r="J10" s="10">
        <v>61</v>
      </c>
      <c r="K10" s="4"/>
      <c r="L10" s="4"/>
      <c r="M10" s="11">
        <f t="shared" si="0"/>
        <v>61</v>
      </c>
      <c r="N10" s="11">
        <f t="shared" si="1"/>
        <v>-2.9888566732051034</v>
      </c>
      <c r="O10" s="11">
        <f>IF(B10="CLOTHOID",IF(I10=TRUE,-clothoidx(H10,M10-J10),clothoidx(H10,M10)),"")</f>
        <v>0</v>
      </c>
      <c r="P10" s="11">
        <f>IF(B10="CLOTHOID",IF(I10=TRUE,clothoidy(H10,M10-J10),clothoidy(H10,M10))*IF(G10=TRUE,-1,1),"")</f>
        <v>0</v>
      </c>
      <c r="Q10" s="11">
        <f t="shared" si="2"/>
        <v>72735.575599999996</v>
      </c>
      <c r="R10" s="11">
        <f t="shared" si="3"/>
        <v>631358.44880000001</v>
      </c>
      <c r="S10" s="11">
        <f>IF(B10="CLOTHOID",IF(I10=TRUE,clothoidx(H10,M10),-clothoidx(H10,M10-J10)),"")</f>
        <v>60.998649740190942</v>
      </c>
      <c r="T10" s="11">
        <f>IF(B10="CLOTHOID",IF(I10=TRUE,clothoidy(H10,M10),clothoidy(H10,M10-J10))*IF(G10=TRUE,1,-1),"")</f>
        <v>0.30251554203761194</v>
      </c>
      <c r="V10" s="9">
        <f t="shared" si="4"/>
        <v>2049.9999999999995</v>
      </c>
      <c r="W10" s="9">
        <f t="shared" si="5"/>
        <v>1.4878048780487806E-2</v>
      </c>
      <c r="X10" s="9">
        <f t="shared" si="6"/>
        <v>-2.9739786244246158</v>
      </c>
      <c r="Y10" s="9">
        <f t="shared" si="7"/>
        <v>72675.333090520056</v>
      </c>
      <c r="Z10" s="9">
        <f t="shared" si="8"/>
        <v>631348.86929910816</v>
      </c>
      <c r="AB10" s="21">
        <f t="shared" si="9"/>
        <v>0</v>
      </c>
      <c r="AC10" s="22">
        <f t="shared" si="10"/>
        <v>0</v>
      </c>
      <c r="AD10" s="22">
        <f t="shared" si="11"/>
        <v>1.0225281585007906E-5</v>
      </c>
      <c r="AE10" s="23">
        <f t="shared" si="12"/>
        <v>-1.5684403479099274E-5</v>
      </c>
    </row>
    <row r="11" spans="1:31" x14ac:dyDescent="0.2">
      <c r="A11">
        <f t="shared" si="13"/>
        <v>2970.5729999999999</v>
      </c>
      <c r="B11" s="10" t="s">
        <v>22</v>
      </c>
      <c r="C11" s="10">
        <v>72675.333100000003</v>
      </c>
      <c r="D11" s="10">
        <v>631348.86919999996</v>
      </c>
      <c r="E11" s="10">
        <v>-2.973978673205103</v>
      </c>
      <c r="F11" s="10">
        <v>2050</v>
      </c>
      <c r="G11" s="10" t="b">
        <v>1</v>
      </c>
      <c r="H11" s="10">
        <v>0</v>
      </c>
      <c r="I11" s="10" t="s">
        <v>14</v>
      </c>
      <c r="J11" s="10">
        <v>890.18040000000019</v>
      </c>
      <c r="K11" s="4"/>
      <c r="L11" s="4"/>
      <c r="M11" s="11">
        <f t="shared" si="0"/>
        <v>0</v>
      </c>
      <c r="N11" s="11" t="str">
        <f t="shared" si="1"/>
        <v/>
      </c>
      <c r="O11" s="11" t="str">
        <f>IF(B11="CLOTHOID",IF(I11=TRUE,-clothoidx(H11,M11-J11),clothoidx(H11,M11)),"")</f>
        <v/>
      </c>
      <c r="P11" s="11" t="str">
        <f>IF(B11="CLOTHOID",IF(I11=TRUE,clothoidy(H11,M11-J11),clothoidy(H11,M11))*IF(G11=TRUE,-1,1),"")</f>
        <v/>
      </c>
      <c r="Q11" s="11" t="str">
        <f t="shared" si="2"/>
        <v/>
      </c>
      <c r="R11" s="11" t="str">
        <f t="shared" si="3"/>
        <v/>
      </c>
      <c r="S11" s="11" t="str">
        <f>IF(B11="CLOTHOID",IF(I11=TRUE,clothoidx(H11,M11),-clothoidx(H11,M11-J11)),"")</f>
        <v/>
      </c>
      <c r="T11" s="11" t="str">
        <f>IF(B11="CLOTHOID",IF(I11=TRUE,clothoidy(H11,M11),clothoidy(H11,M11-J11))*IF(G11=TRUE,1,-1),"")</f>
        <v/>
      </c>
      <c r="V11" s="9">
        <f t="shared" si="4"/>
        <v>2050</v>
      </c>
      <c r="W11" s="9">
        <f t="shared" si="5"/>
        <v>0.43423434146341472</v>
      </c>
      <c r="X11" s="9">
        <f t="shared" si="6"/>
        <v>-2.5397443317416881</v>
      </c>
      <c r="Y11" s="9">
        <f t="shared" si="7"/>
        <v>71856.692765049171</v>
      </c>
      <c r="Z11" s="9">
        <f t="shared" si="8"/>
        <v>631017.39430910314</v>
      </c>
      <c r="AB11" s="21">
        <f t="shared" si="9"/>
        <v>0</v>
      </c>
      <c r="AC11" s="22">
        <f t="shared" si="10"/>
        <v>-4.8780487205135614E-8</v>
      </c>
      <c r="AD11" s="22">
        <f t="shared" si="11"/>
        <v>9.4799470389261842E-6</v>
      </c>
      <c r="AE11" s="23">
        <f t="shared" si="12"/>
        <v>-9.9108205176889896E-5</v>
      </c>
    </row>
    <row r="12" spans="1:31" x14ac:dyDescent="0.2">
      <c r="A12">
        <f t="shared" si="13"/>
        <v>3860.7534000000001</v>
      </c>
      <c r="B12" s="10" t="s">
        <v>21</v>
      </c>
      <c r="C12" s="10">
        <v>71856.692899999995</v>
      </c>
      <c r="D12" s="10">
        <v>631017.39390000002</v>
      </c>
      <c r="E12" s="10">
        <v>-2.5397436732051037</v>
      </c>
      <c r="F12" s="10">
        <v>2050</v>
      </c>
      <c r="G12" s="10" t="b">
        <v>1</v>
      </c>
      <c r="H12" s="10">
        <v>353.62409420173844</v>
      </c>
      <c r="I12" s="10" t="b">
        <v>0</v>
      </c>
      <c r="J12" s="10">
        <v>61</v>
      </c>
      <c r="K12" s="4"/>
      <c r="L12" s="4"/>
      <c r="M12" s="11">
        <f t="shared" si="0"/>
        <v>60.999999999999993</v>
      </c>
      <c r="N12" s="11">
        <f t="shared" si="1"/>
        <v>-2.5248656244246162</v>
      </c>
      <c r="O12" s="11">
        <f>IF(B12="CLOTHOID",IF(I12=TRUE,-clothoidx(H12,M12-J12),clothoidx(H12,M12)),"")</f>
        <v>60.998649740190935</v>
      </c>
      <c r="P12" s="11">
        <f>IF(B12="CLOTHOID",IF(I12=TRUE,clothoidy(H12,M12-J12),clothoidy(H12,M12))*IF(G12=TRUE,-1,1),"")</f>
        <v>-0.30251554203761183</v>
      </c>
      <c r="Q12" s="11">
        <f t="shared" si="2"/>
        <v>71806.756712010581</v>
      </c>
      <c r="R12" s="11">
        <f t="shared" si="3"/>
        <v>630982.36100239132</v>
      </c>
      <c r="S12" s="11">
        <f>IF(B12="CLOTHOID",IF(I12=TRUE,clothoidx(H12,M12),-clothoidx(H12,M12-J12)),"")</f>
        <v>7.1054273576010019E-15</v>
      </c>
      <c r="T12" s="11">
        <f>IF(B12="CLOTHOID",IF(I12=TRUE,clothoidy(H12,M12),clothoidy(H12,M12-J12))*IF(G12=TRUE,1,-1),"")</f>
        <v>-4.7811862837152236E-49</v>
      </c>
      <c r="V12" s="9">
        <f t="shared" si="4"/>
        <v>0</v>
      </c>
      <c r="W12" s="9">
        <f t="shared" si="5"/>
        <v>1.4878048780487802E-2</v>
      </c>
      <c r="X12" s="9">
        <f t="shared" si="6"/>
        <v>-2.5248656244246162</v>
      </c>
      <c r="Y12" s="9">
        <f t="shared" si="7"/>
        <v>71806.756712010581</v>
      </c>
      <c r="Z12" s="9">
        <f t="shared" si="8"/>
        <v>630982.36100239132</v>
      </c>
      <c r="AB12" s="21">
        <f t="shared" si="9"/>
        <v>0</v>
      </c>
      <c r="AC12" s="22">
        <f t="shared" si="10"/>
        <v>6.5853658437475815E-7</v>
      </c>
      <c r="AD12" s="22">
        <f t="shared" si="11"/>
        <v>1.3495082384906709E-4</v>
      </c>
      <c r="AE12" s="23">
        <f t="shared" si="12"/>
        <v>-4.0910311508923769E-4</v>
      </c>
    </row>
    <row r="13" spans="1:31" x14ac:dyDescent="0.2">
      <c r="A13">
        <f t="shared" si="13"/>
        <v>3921.7534000000001</v>
      </c>
      <c r="B13" s="10" t="s">
        <v>20</v>
      </c>
      <c r="C13" s="10">
        <v>71806.756699999998</v>
      </c>
      <c r="D13" s="10">
        <v>630982.36109999998</v>
      </c>
      <c r="E13" s="10">
        <v>-2.5248656732051034</v>
      </c>
      <c r="F13" s="10">
        <v>0</v>
      </c>
      <c r="G13" s="10" t="b">
        <v>0</v>
      </c>
      <c r="H13" s="10">
        <v>0</v>
      </c>
      <c r="I13" s="10" t="s">
        <v>14</v>
      </c>
      <c r="J13" s="10">
        <v>95.649899999999889</v>
      </c>
      <c r="K13" s="4"/>
      <c r="L13" s="4"/>
      <c r="M13" s="11">
        <f t="shared" si="0"/>
        <v>0</v>
      </c>
      <c r="N13" s="11" t="str">
        <f t="shared" si="1"/>
        <v/>
      </c>
      <c r="O13" s="11" t="str">
        <f>IF(B13="CLOTHOID",IF(I13=TRUE,-clothoidx(H13,M13-J13),clothoidx(H13,M13)),"")</f>
        <v/>
      </c>
      <c r="P13" s="11" t="str">
        <f>IF(B13="CLOTHOID",IF(I13=TRUE,clothoidy(H13,M13-J13),clothoidy(H13,M13))*IF(G13=TRUE,-1,1),"")</f>
        <v/>
      </c>
      <c r="Q13" s="11" t="str">
        <f t="shared" si="2"/>
        <v/>
      </c>
      <c r="R13" s="11" t="str">
        <f t="shared" si="3"/>
        <v/>
      </c>
      <c r="S13" s="11" t="str">
        <f>IF(B13="CLOTHOID",IF(I13=TRUE,clothoidx(H13,M13),-clothoidx(H13,M13-J13)),"")</f>
        <v/>
      </c>
      <c r="T13" s="11" t="str">
        <f>IF(B13="CLOTHOID",IF(I13=TRUE,clothoidy(H13,M13),clothoidy(H13,M13-J13))*IF(G13=TRUE,1,-1),"")</f>
        <v/>
      </c>
      <c r="V13" s="9">
        <f t="shared" si="4"/>
        <v>0</v>
      </c>
      <c r="W13" s="9">
        <f t="shared" si="5"/>
        <v>0</v>
      </c>
      <c r="X13" s="9">
        <f t="shared" si="6"/>
        <v>-2.5248656732051034</v>
      </c>
      <c r="Y13" s="9">
        <f t="shared" si="7"/>
        <v>71728.727823117835</v>
      </c>
      <c r="Z13" s="9">
        <f t="shared" si="8"/>
        <v>630927.0402382703</v>
      </c>
      <c r="AB13" s="21">
        <f t="shared" si="9"/>
        <v>0</v>
      </c>
      <c r="AC13" s="22">
        <f t="shared" si="10"/>
        <v>-4.8780487205135614E-8</v>
      </c>
      <c r="AD13" s="22">
        <f t="shared" si="11"/>
        <v>-1.2010583304800093E-5</v>
      </c>
      <c r="AE13" s="23">
        <f t="shared" si="12"/>
        <v>9.7608659416437149E-5</v>
      </c>
    </row>
    <row r="14" spans="1:31" x14ac:dyDescent="0.2">
      <c r="A14">
        <f t="shared" si="13"/>
        <v>4017.4032999999999</v>
      </c>
      <c r="B14" s="10" t="s">
        <v>22</v>
      </c>
      <c r="C14" s="10">
        <v>71728.727799999993</v>
      </c>
      <c r="D14" s="10">
        <v>630927.04020000005</v>
      </c>
      <c r="E14" s="10">
        <v>-2.5248656732051034</v>
      </c>
      <c r="F14" s="10">
        <v>4300</v>
      </c>
      <c r="G14" s="10" t="b">
        <v>0</v>
      </c>
      <c r="H14" s="10">
        <v>0</v>
      </c>
      <c r="I14" s="10" t="s">
        <v>14</v>
      </c>
      <c r="J14" s="10">
        <v>1520.0859</v>
      </c>
      <c r="K14" s="4"/>
      <c r="L14" s="4"/>
      <c r="M14" s="11">
        <f t="shared" si="0"/>
        <v>0</v>
      </c>
      <c r="N14" s="11" t="str">
        <f t="shared" si="1"/>
        <v/>
      </c>
      <c r="O14" s="11" t="str">
        <f>IF(B14="CLOTHOID",IF(I14=TRUE,-clothoidx(H14,M14-J14),clothoidx(H14,M14)),"")</f>
        <v/>
      </c>
      <c r="P14" s="11" t="str">
        <f>IF(B14="CLOTHOID",IF(I14=TRUE,clothoidy(H14,M14-J14),clothoidy(H14,M14))*IF(G14=TRUE,-1,1),"")</f>
        <v/>
      </c>
      <c r="Q14" s="11" t="str">
        <f t="shared" si="2"/>
        <v/>
      </c>
      <c r="R14" s="11" t="str">
        <f t="shared" si="3"/>
        <v/>
      </c>
      <c r="S14" s="11" t="str">
        <f>IF(B14="CLOTHOID",IF(I14=TRUE,clothoidx(H14,M14),-clothoidx(H14,M14-J14)),"")</f>
        <v/>
      </c>
      <c r="T14" s="11" t="str">
        <f>IF(B14="CLOTHOID",IF(I14=TRUE,clothoidy(H14,M14),clothoidy(H14,M14-J14))*IF(G14=TRUE,1,-1),"")</f>
        <v/>
      </c>
      <c r="V14" s="9">
        <f t="shared" si="4"/>
        <v>4300</v>
      </c>
      <c r="W14" s="9">
        <f t="shared" si="5"/>
        <v>0.35350834883720933</v>
      </c>
      <c r="X14" s="9">
        <f t="shared" si="6"/>
        <v>-2.8783740220423129</v>
      </c>
      <c r="Y14" s="9">
        <f t="shared" si="7"/>
        <v>70360.560057537965</v>
      </c>
      <c r="Z14" s="9">
        <f t="shared" si="8"/>
        <v>630282.97892034356</v>
      </c>
      <c r="AB14" s="21">
        <f t="shared" si="9"/>
        <v>4300</v>
      </c>
      <c r="AC14" s="22">
        <f t="shared" si="10"/>
        <v>0</v>
      </c>
      <c r="AD14" s="22">
        <f t="shared" si="11"/>
        <v>-2.3117841919884086E-5</v>
      </c>
      <c r="AE14" s="23">
        <f t="shared" si="12"/>
        <v>-3.8270256482064724E-5</v>
      </c>
    </row>
    <row r="15" spans="1:31" x14ac:dyDescent="0.2">
      <c r="A15">
        <f t="shared" si="13"/>
        <v>5537.4892</v>
      </c>
      <c r="B15" s="10" t="s">
        <v>22</v>
      </c>
      <c r="C15" s="10">
        <v>70360.56</v>
      </c>
      <c r="D15" s="10">
        <v>630282.9791</v>
      </c>
      <c r="E15" s="10">
        <v>-2.8783736732051031</v>
      </c>
      <c r="F15" s="10">
        <v>7000</v>
      </c>
      <c r="G15" s="10" t="b">
        <v>0</v>
      </c>
      <c r="H15" s="10">
        <v>0</v>
      </c>
      <c r="I15" s="10" t="s">
        <v>14</v>
      </c>
      <c r="J15" s="10">
        <v>156.20989999999983</v>
      </c>
      <c r="K15" s="4"/>
      <c r="L15" s="4"/>
      <c r="M15" s="11">
        <f t="shared" si="0"/>
        <v>0</v>
      </c>
      <c r="N15" s="11" t="str">
        <f t="shared" si="1"/>
        <v/>
      </c>
      <c r="O15" s="11" t="str">
        <f>IF(B15="CLOTHOID",IF(I15=TRUE,-clothoidx(H15,M15-J15),clothoidx(H15,M15)),"")</f>
        <v/>
      </c>
      <c r="P15" s="11" t="str">
        <f>IF(B15="CLOTHOID",IF(I15=TRUE,clothoidy(H15,M15-J15),clothoidy(H15,M15))*IF(G15=TRUE,-1,1),"")</f>
        <v/>
      </c>
      <c r="Q15" s="11" t="str">
        <f t="shared" si="2"/>
        <v/>
      </c>
      <c r="R15" s="11" t="str">
        <f t="shared" si="3"/>
        <v/>
      </c>
      <c r="S15" s="11" t="str">
        <f>IF(B15="CLOTHOID",IF(I15=TRUE,clothoidx(H15,M15),-clothoidx(H15,M15-J15)),"")</f>
        <v/>
      </c>
      <c r="T15" s="11" t="str">
        <f>IF(B15="CLOTHOID",IF(I15=TRUE,clothoidy(H15,M15),clothoidy(H15,M15-J15))*IF(G15=TRUE,1,-1),"")</f>
        <v/>
      </c>
      <c r="V15" s="9">
        <f t="shared" si="4"/>
        <v>7000</v>
      </c>
      <c r="W15" s="9">
        <f t="shared" si="5"/>
        <v>2.2315699999999977E-2</v>
      </c>
      <c r="X15" s="9">
        <f t="shared" si="6"/>
        <v>-2.9006893732051031</v>
      </c>
      <c r="Y15" s="9">
        <f t="shared" si="7"/>
        <v>70209.289404182768</v>
      </c>
      <c r="Z15" s="9">
        <f t="shared" si="8"/>
        <v>630244.02108321665</v>
      </c>
      <c r="AB15" s="21">
        <f t="shared" si="9"/>
        <v>2700</v>
      </c>
      <c r="AC15" s="22">
        <f t="shared" si="10"/>
        <v>3.4883720978484689E-7</v>
      </c>
      <c r="AD15" s="22">
        <f t="shared" si="11"/>
        <v>-5.7537967222742736E-5</v>
      </c>
      <c r="AE15" s="23">
        <f t="shared" si="12"/>
        <v>1.796564320102334E-4</v>
      </c>
    </row>
    <row r="16" spans="1:31" x14ac:dyDescent="0.2">
      <c r="A16">
        <f t="shared" si="13"/>
        <v>5693.6990999999998</v>
      </c>
      <c r="B16" s="10" t="s">
        <v>21</v>
      </c>
      <c r="C16" s="10">
        <v>70209.289300000004</v>
      </c>
      <c r="D16" s="10">
        <v>630244.02119999996</v>
      </c>
      <c r="E16" s="10">
        <v>-2.9006896732051031</v>
      </c>
      <c r="F16" s="10">
        <v>0</v>
      </c>
      <c r="G16" s="10" t="b">
        <v>1</v>
      </c>
      <c r="H16" s="10">
        <v>350.99857549568486</v>
      </c>
      <c r="I16" s="10" t="b">
        <v>1</v>
      </c>
      <c r="J16" s="10">
        <v>56</v>
      </c>
      <c r="K16" s="4"/>
      <c r="L16" s="4"/>
      <c r="M16" s="11">
        <f t="shared" si="0"/>
        <v>56</v>
      </c>
      <c r="N16" s="11">
        <f t="shared" si="1"/>
        <v>-2.9006896732051031</v>
      </c>
      <c r="O16" s="11">
        <f>IF(B16="CLOTHOID",IF(I16=TRUE,-clothoidx(H16,M16-J16),clothoidx(H16,M16)),"")</f>
        <v>0</v>
      </c>
      <c r="P16" s="11">
        <f>IF(B16="CLOTHOID",IF(I16=TRUE,clothoidy(H16,M16-J16),clothoidy(H16,M16))*IF(G16=TRUE,-1,1),"")</f>
        <v>0</v>
      </c>
      <c r="Q16" s="11">
        <f t="shared" si="2"/>
        <v>70209.289300000004</v>
      </c>
      <c r="R16" s="11">
        <f t="shared" si="3"/>
        <v>630244.02119999996</v>
      </c>
      <c r="S16" s="11">
        <f>IF(B16="CLOTHOID",IF(I16=TRUE,clothoidx(H16,M16),-clothoidx(H16,M16-J16)),"")</f>
        <v>55.999092899364591</v>
      </c>
      <c r="T16" s="11">
        <f>IF(B16="CLOTHOID",IF(I16=TRUE,clothoidy(H16,M16),clothoidy(H16,M16-J16))*IF(G16=TRUE,1,-1),"")</f>
        <v>0.23757300877950682</v>
      </c>
      <c r="V16" s="9">
        <f t="shared" si="4"/>
        <v>2199.9999999999995</v>
      </c>
      <c r="W16" s="9">
        <f t="shared" si="5"/>
        <v>1.2727272727272729E-2</v>
      </c>
      <c r="X16" s="9">
        <f t="shared" si="6"/>
        <v>-2.8879624004778304</v>
      </c>
      <c r="Y16" s="9">
        <f t="shared" si="7"/>
        <v>70154.963976454485</v>
      </c>
      <c r="Z16" s="9">
        <f t="shared" si="8"/>
        <v>630230.43024461926</v>
      </c>
      <c r="AB16" s="21">
        <f t="shared" si="9"/>
        <v>-7000</v>
      </c>
      <c r="AC16" s="22">
        <f t="shared" si="10"/>
        <v>-2.9999999995311555E-7</v>
      </c>
      <c r="AD16" s="22">
        <f t="shared" si="11"/>
        <v>-1.0418276360724121E-4</v>
      </c>
      <c r="AE16" s="23">
        <f t="shared" si="12"/>
        <v>1.1678331065922976E-4</v>
      </c>
    </row>
    <row r="17" spans="1:31" x14ac:dyDescent="0.2">
      <c r="A17">
        <f t="shared" si="13"/>
        <v>5749.6990999999998</v>
      </c>
      <c r="B17" s="10" t="s">
        <v>22</v>
      </c>
      <c r="C17" s="10">
        <v>70154.964000000007</v>
      </c>
      <c r="D17" s="10">
        <v>630230.43019999994</v>
      </c>
      <c r="E17" s="10">
        <v>-2.8879626732051031</v>
      </c>
      <c r="F17" s="10">
        <v>2200</v>
      </c>
      <c r="G17" s="10" t="b">
        <v>1</v>
      </c>
      <c r="H17" s="10">
        <v>0</v>
      </c>
      <c r="I17" s="10" t="s">
        <v>14</v>
      </c>
      <c r="J17" s="10">
        <v>457.78830000000016</v>
      </c>
      <c r="K17" s="4"/>
      <c r="L17" s="4"/>
      <c r="M17" s="11">
        <f t="shared" si="0"/>
        <v>0</v>
      </c>
      <c r="N17" s="11" t="str">
        <f t="shared" si="1"/>
        <v/>
      </c>
      <c r="O17" s="11" t="str">
        <f>IF(B17="CLOTHOID",IF(I17=TRUE,-clothoidx(H17,M17-J17),clothoidx(H17,M17)),"")</f>
        <v/>
      </c>
      <c r="P17" s="11" t="str">
        <f>IF(B17="CLOTHOID",IF(I17=TRUE,clothoidy(H17,M17-J17),clothoidy(H17,M17))*IF(G17=TRUE,-1,1),"")</f>
        <v/>
      </c>
      <c r="Q17" s="11" t="str">
        <f t="shared" si="2"/>
        <v/>
      </c>
      <c r="R17" s="11" t="str">
        <f t="shared" si="3"/>
        <v/>
      </c>
      <c r="S17" s="11" t="str">
        <f>IF(B17="CLOTHOID",IF(I17=TRUE,clothoidx(H17,M17),-clothoidx(H17,M17-J17)),"")</f>
        <v/>
      </c>
      <c r="T17" s="11" t="str">
        <f>IF(B17="CLOTHOID",IF(I17=TRUE,clothoidy(H17,M17),clothoidy(H17,M17-J17))*IF(G17=TRUE,1,-1),"")</f>
        <v/>
      </c>
      <c r="V17" s="9">
        <f t="shared" si="4"/>
        <v>2200</v>
      </c>
      <c r="W17" s="9">
        <f t="shared" si="5"/>
        <v>0.20808559090909098</v>
      </c>
      <c r="X17" s="9">
        <f t="shared" si="6"/>
        <v>-2.6798770822960121</v>
      </c>
      <c r="Y17" s="9">
        <f t="shared" si="7"/>
        <v>69726.920471522884</v>
      </c>
      <c r="Z17" s="9">
        <f t="shared" si="8"/>
        <v>630070.44968928455</v>
      </c>
      <c r="AB17" s="21">
        <f t="shared" si="9"/>
        <v>0</v>
      </c>
      <c r="AC17" s="22">
        <f t="shared" si="10"/>
        <v>-2.7272727276539399E-7</v>
      </c>
      <c r="AD17" s="22">
        <f t="shared" si="11"/>
        <v>2.3545522708445787E-5</v>
      </c>
      <c r="AE17" s="23">
        <f t="shared" si="12"/>
        <v>-4.4619315303862095E-5</v>
      </c>
    </row>
    <row r="18" spans="1:31" x14ac:dyDescent="0.2">
      <c r="A18">
        <f t="shared" si="13"/>
        <v>6207.4874</v>
      </c>
      <c r="B18" s="10" t="s">
        <v>21</v>
      </c>
      <c r="C18" s="10">
        <v>69726.920500000007</v>
      </c>
      <c r="D18" s="10">
        <v>630070.4497</v>
      </c>
      <c r="E18" s="10">
        <v>-2.6798766732051034</v>
      </c>
      <c r="F18" s="10">
        <v>2200</v>
      </c>
      <c r="G18" s="10" t="b">
        <v>1</v>
      </c>
      <c r="H18" s="10">
        <v>350.99857549568486</v>
      </c>
      <c r="I18" s="10" t="b">
        <v>0</v>
      </c>
      <c r="J18" s="10">
        <v>56</v>
      </c>
      <c r="K18" s="4"/>
      <c r="L18" s="4"/>
      <c r="M18" s="11">
        <f t="shared" si="0"/>
        <v>55.999999999999993</v>
      </c>
      <c r="N18" s="11">
        <f t="shared" si="1"/>
        <v>-2.6671494004778307</v>
      </c>
      <c r="O18" s="11">
        <f>IF(B18="CLOTHOID",IF(I18=TRUE,-clothoidx(H18,M18-J18),clothoidx(H18,M18)),"")</f>
        <v>55.999092899364584</v>
      </c>
      <c r="P18" s="11">
        <f>IF(B18="CLOTHOID",IF(I18=TRUE,clothoidy(H18,M18-J18),clothoidy(H18,M18))*IF(G18=TRUE,-1,1),"")</f>
        <v>-0.23757300877950671</v>
      </c>
      <c r="Q18" s="11">
        <f t="shared" si="2"/>
        <v>69676.998129769418</v>
      </c>
      <c r="R18" s="11">
        <f t="shared" si="3"/>
        <v>630045.07822394813</v>
      </c>
      <c r="S18" s="11">
        <f>IF(B18="CLOTHOID",IF(I18=TRUE,clothoidx(H18,M18),-clothoidx(H18,M18-J18)),"")</f>
        <v>7.1054273576010019E-15</v>
      </c>
      <c r="T18" s="11">
        <f>IF(B18="CLOTHOID",IF(I18=TRUE,clothoidy(H18,M18),clothoidy(H18,M18-J18))*IF(G18=TRUE,1,-1),"")</f>
        <v>-4.8529816946314019E-49</v>
      </c>
      <c r="V18" s="9">
        <f t="shared" si="4"/>
        <v>0</v>
      </c>
      <c r="W18" s="9">
        <f t="shared" si="5"/>
        <v>1.2727272727272724E-2</v>
      </c>
      <c r="X18" s="9">
        <f t="shared" si="6"/>
        <v>-2.6671494004778307</v>
      </c>
      <c r="Y18" s="9">
        <f t="shared" si="7"/>
        <v>69676.998129769418</v>
      </c>
      <c r="Z18" s="9">
        <f t="shared" si="8"/>
        <v>630045.07822394813</v>
      </c>
      <c r="AB18" s="21">
        <f t="shared" si="9"/>
        <v>0</v>
      </c>
      <c r="AC18" s="22">
        <f t="shared" si="10"/>
        <v>4.0909090870400178E-7</v>
      </c>
      <c r="AD18" s="22">
        <f t="shared" si="11"/>
        <v>2.8477123123593628E-5</v>
      </c>
      <c r="AE18" s="23">
        <f t="shared" si="12"/>
        <v>1.0715448297560215E-5</v>
      </c>
    </row>
    <row r="19" spans="1:31" x14ac:dyDescent="0.2">
      <c r="A19">
        <f t="shared" si="13"/>
        <v>6263.4874</v>
      </c>
      <c r="B19" s="10" t="s">
        <v>20</v>
      </c>
      <c r="C19" s="10">
        <v>69676.998099999997</v>
      </c>
      <c r="D19" s="10">
        <v>630045.07819999999</v>
      </c>
      <c r="E19" s="10">
        <v>-2.6671496732051034</v>
      </c>
      <c r="F19" s="10">
        <v>0</v>
      </c>
      <c r="G19" s="10" t="b">
        <v>0</v>
      </c>
      <c r="H19" s="10">
        <v>0</v>
      </c>
      <c r="I19" s="10" t="s">
        <v>14</v>
      </c>
      <c r="J19" s="10">
        <v>98.26260000000002</v>
      </c>
      <c r="K19" s="4"/>
      <c r="L19" s="4"/>
      <c r="M19" s="11">
        <f t="shared" si="0"/>
        <v>0</v>
      </c>
      <c r="N19" s="11" t="str">
        <f t="shared" si="1"/>
        <v/>
      </c>
      <c r="O19" s="11" t="str">
        <f>IF(B19="CLOTHOID",IF(I19=TRUE,-clothoidx(H19,M19-J19),clothoidx(H19,M19)),"")</f>
        <v/>
      </c>
      <c r="P19" s="11" t="str">
        <f>IF(B19="CLOTHOID",IF(I19=TRUE,clothoidy(H19,M19-J19),clothoidy(H19,M19))*IF(G19=TRUE,-1,1),"")</f>
        <v/>
      </c>
      <c r="Q19" s="11" t="str">
        <f t="shared" si="2"/>
        <v/>
      </c>
      <c r="R19" s="11" t="str">
        <f t="shared" si="3"/>
        <v/>
      </c>
      <c r="S19" s="11" t="str">
        <f>IF(B19="CLOTHOID",IF(I19=TRUE,clothoidx(H19,M19),-clothoidx(H19,M19-J19)),"")</f>
        <v/>
      </c>
      <c r="T19" s="11" t="str">
        <f>IF(B19="CLOTHOID",IF(I19=TRUE,clothoidy(H19,M19),clothoidy(H19,M19-J19))*IF(G19=TRUE,1,-1),"")</f>
        <v/>
      </c>
      <c r="V19" s="9">
        <f t="shared" si="4"/>
        <v>0</v>
      </c>
      <c r="W19" s="9">
        <f t="shared" si="5"/>
        <v>0</v>
      </c>
      <c r="X19" s="9">
        <f t="shared" si="6"/>
        <v>-2.6671496732051034</v>
      </c>
      <c r="Y19" s="9">
        <f t="shared" si="7"/>
        <v>69589.588866517865</v>
      </c>
      <c r="Z19" s="9">
        <f t="shared" si="8"/>
        <v>630000.18761679123</v>
      </c>
      <c r="AB19" s="21">
        <f t="shared" si="9"/>
        <v>0</v>
      </c>
      <c r="AC19" s="22">
        <f t="shared" si="10"/>
        <v>-2.7272727276539399E-7</v>
      </c>
      <c r="AD19" s="22">
        <f t="shared" si="11"/>
        <v>-2.9769420507363975E-5</v>
      </c>
      <c r="AE19" s="23">
        <f t="shared" si="12"/>
        <v>-2.3948145098984241E-5</v>
      </c>
    </row>
    <row r="20" spans="1:31" x14ac:dyDescent="0.2">
      <c r="A20">
        <f t="shared" si="13"/>
        <v>6361.75</v>
      </c>
      <c r="B20" s="10" t="s">
        <v>21</v>
      </c>
      <c r="C20" s="10">
        <v>69589.588900000002</v>
      </c>
      <c r="D20" s="10">
        <v>630000.18770000001</v>
      </c>
      <c r="E20" s="10">
        <v>-2.6671496732051034</v>
      </c>
      <c r="F20" s="10">
        <v>0</v>
      </c>
      <c r="G20" s="10" t="b">
        <v>0</v>
      </c>
      <c r="H20" s="10">
        <v>350.19994288977261</v>
      </c>
      <c r="I20" s="10" t="b">
        <v>1</v>
      </c>
      <c r="J20" s="10">
        <v>48</v>
      </c>
      <c r="K20" s="4"/>
      <c r="L20" s="4"/>
      <c r="M20" s="11">
        <f t="shared" si="0"/>
        <v>48</v>
      </c>
      <c r="N20" s="11">
        <f t="shared" si="1"/>
        <v>-2.6671496732051034</v>
      </c>
      <c r="O20" s="11">
        <f>IF(B20="CLOTHOID",IF(I20=TRUE,-clothoidx(H20,M20-J20),clothoidx(H20,M20)),"")</f>
        <v>0</v>
      </c>
      <c r="P20" s="11">
        <f>IF(B20="CLOTHOID",IF(I20=TRUE,clothoidy(H20,M20-J20),clothoidy(H20,M20))*IF(G20=TRUE,-1,1),"")</f>
        <v>0</v>
      </c>
      <c r="Q20" s="11">
        <f t="shared" si="2"/>
        <v>69589.588900000002</v>
      </c>
      <c r="R20" s="11">
        <f t="shared" si="3"/>
        <v>630000.18770000001</v>
      </c>
      <c r="S20" s="11">
        <f>IF(B20="CLOTHOID",IF(I20=TRUE,clothoidx(H20,M20),-clothoidx(H20,M20-J20)),"")</f>
        <v>47.999576472210201</v>
      </c>
      <c r="T20" s="11">
        <f>IF(B20="CLOTHOID",IF(I20=TRUE,clothoidy(H20,M20),clothoidy(H20,M20-J20))*IF(G20=TRUE,1,-1),"")</f>
        <v>-0.15029259484978519</v>
      </c>
      <c r="V20" s="9">
        <f t="shared" si="4"/>
        <v>2555</v>
      </c>
      <c r="W20" s="9">
        <f t="shared" si="5"/>
        <v>9.3933463796477493E-3</v>
      </c>
      <c r="X20" s="9">
        <f t="shared" si="6"/>
        <v>-2.6765430195847513</v>
      </c>
      <c r="Y20" s="9">
        <f t="shared" si="7"/>
        <v>69546.822344778193</v>
      </c>
      <c r="Z20" s="9">
        <f t="shared" si="8"/>
        <v>629978.39312076941</v>
      </c>
      <c r="AB20" s="21">
        <f t="shared" si="9"/>
        <v>0</v>
      </c>
      <c r="AC20" s="22">
        <f t="shared" si="10"/>
        <v>0</v>
      </c>
      <c r="AD20" s="22">
        <f t="shared" si="11"/>
        <v>3.348213795106858E-5</v>
      </c>
      <c r="AE20" s="23">
        <f t="shared" si="12"/>
        <v>8.3208782598376274E-5</v>
      </c>
    </row>
    <row r="21" spans="1:31" x14ac:dyDescent="0.2">
      <c r="A21">
        <f t="shared" si="13"/>
        <v>6409.75</v>
      </c>
      <c r="B21" s="10" t="s">
        <v>22</v>
      </c>
      <c r="C21" s="10">
        <v>69546.822400000005</v>
      </c>
      <c r="D21" s="10">
        <v>629978.39309999999</v>
      </c>
      <c r="E21" s="10">
        <v>-2.6765426732051036</v>
      </c>
      <c r="F21" s="10">
        <v>2555</v>
      </c>
      <c r="G21" s="10" t="b">
        <v>0</v>
      </c>
      <c r="H21" s="10">
        <v>0</v>
      </c>
      <c r="I21" s="10" t="s">
        <v>14</v>
      </c>
      <c r="J21" s="10">
        <v>1102.8996999999999</v>
      </c>
      <c r="K21" s="4"/>
      <c r="L21" s="4"/>
      <c r="M21" s="11">
        <f t="shared" si="0"/>
        <v>0</v>
      </c>
      <c r="N21" s="11" t="str">
        <f t="shared" si="1"/>
        <v/>
      </c>
      <c r="O21" s="11" t="str">
        <f>IF(B21="CLOTHOID",IF(I21=TRUE,-clothoidx(H21,M21-J21),clothoidx(H21,M21)),"")</f>
        <v/>
      </c>
      <c r="P21" s="11" t="str">
        <f>IF(B21="CLOTHOID",IF(I21=TRUE,clothoidy(H21,M21-J21),clothoidy(H21,M21))*IF(G21=TRUE,-1,1),"")</f>
        <v/>
      </c>
      <c r="Q21" s="11" t="str">
        <f t="shared" si="2"/>
        <v/>
      </c>
      <c r="R21" s="11" t="str">
        <f t="shared" si="3"/>
        <v/>
      </c>
      <c r="S21" s="11" t="str">
        <f>IF(B21="CLOTHOID",IF(I21=TRUE,clothoidx(H21,M21),-clothoidx(H21,M21-J21)),"")</f>
        <v/>
      </c>
      <c r="T21" s="11" t="str">
        <f>IF(B21="CLOTHOID",IF(I21=TRUE,clothoidy(H21,M21),clothoidy(H21,M21-J21))*IF(G21=TRUE,1,-1),"")</f>
        <v/>
      </c>
      <c r="V21" s="9">
        <f t="shared" si="4"/>
        <v>2555</v>
      </c>
      <c r="W21" s="9">
        <f t="shared" si="5"/>
        <v>0.43166328767123285</v>
      </c>
      <c r="X21" s="9">
        <f t="shared" si="6"/>
        <v>-3.1082059608763366</v>
      </c>
      <c r="Y21" s="9">
        <f t="shared" si="7"/>
        <v>68486.275156127405</v>
      </c>
      <c r="Z21" s="9">
        <f t="shared" si="8"/>
        <v>629708.47379398718</v>
      </c>
      <c r="AB21" s="21">
        <f t="shared" si="9"/>
        <v>0</v>
      </c>
      <c r="AC21" s="22">
        <f t="shared" si="10"/>
        <v>3.4637964763106766E-7</v>
      </c>
      <c r="AD21" s="22">
        <f t="shared" si="11"/>
        <v>5.5221811635419726E-5</v>
      </c>
      <c r="AE21" s="23">
        <f t="shared" si="12"/>
        <v>-2.0769424736499786E-5</v>
      </c>
    </row>
    <row r="22" spans="1:31" x14ac:dyDescent="0.2">
      <c r="A22">
        <f t="shared" si="13"/>
        <v>7512.6496999999999</v>
      </c>
      <c r="B22" s="10" t="s">
        <v>22</v>
      </c>
      <c r="C22" s="10">
        <v>68486.274999999994</v>
      </c>
      <c r="D22" s="10">
        <v>629708.47420000006</v>
      </c>
      <c r="E22" s="10">
        <v>-3.1082066732051032</v>
      </c>
      <c r="F22" s="10">
        <v>2450</v>
      </c>
      <c r="G22" s="10" t="b">
        <v>0</v>
      </c>
      <c r="H22" s="10">
        <v>0</v>
      </c>
      <c r="I22" s="10" t="s">
        <v>14</v>
      </c>
      <c r="J22" s="10">
        <v>248.62049999999999</v>
      </c>
      <c r="K22" s="4"/>
      <c r="L22" s="4"/>
      <c r="M22" s="11">
        <f t="shared" si="0"/>
        <v>0</v>
      </c>
      <c r="N22" s="11" t="str">
        <f t="shared" si="1"/>
        <v/>
      </c>
      <c r="O22" s="11" t="str">
        <f>IF(B22="CLOTHOID",IF(I22=TRUE,-clothoidx(H22,M22-J22),clothoidx(H22,M22)),"")</f>
        <v/>
      </c>
      <c r="P22" s="11" t="str">
        <f>IF(B22="CLOTHOID",IF(I22=TRUE,clothoidy(H22,M22-J22),clothoidy(H22,M22))*IF(G22=TRUE,-1,1),"")</f>
        <v/>
      </c>
      <c r="Q22" s="11" t="str">
        <f t="shared" si="2"/>
        <v/>
      </c>
      <c r="R22" s="11" t="str">
        <f t="shared" si="3"/>
        <v/>
      </c>
      <c r="S22" s="11" t="str">
        <f>IF(B22="CLOTHOID",IF(I22=TRUE,clothoidx(H22,M22),-clothoidx(H22,M22-J22)),"")</f>
        <v/>
      </c>
      <c r="T22" s="11" t="str">
        <f>IF(B22="CLOTHOID",IF(I22=TRUE,clothoidy(H22,M22),clothoidy(H22,M22-J22))*IF(G22=TRUE,1,-1),"")</f>
        <v/>
      </c>
      <c r="V22" s="9">
        <f t="shared" si="4"/>
        <v>2450</v>
      </c>
      <c r="W22" s="9">
        <f t="shared" si="5"/>
        <v>0.10147775510204081</v>
      </c>
      <c r="X22" s="9">
        <f t="shared" si="6"/>
        <v>-3.2096844283071442</v>
      </c>
      <c r="Y22" s="9">
        <f t="shared" si="7"/>
        <v>68237.798578116941</v>
      </c>
      <c r="Z22" s="9">
        <f t="shared" si="8"/>
        <v>629712.78641864203</v>
      </c>
      <c r="AB22" s="21">
        <f t="shared" si="9"/>
        <v>-105</v>
      </c>
      <c r="AC22" s="22">
        <f t="shared" si="10"/>
        <v>-7.1232876663884781E-7</v>
      </c>
      <c r="AD22" s="22">
        <f t="shared" si="11"/>
        <v>-1.5612741117365658E-4</v>
      </c>
      <c r="AE22" s="23">
        <f t="shared" si="12"/>
        <v>4.0601287037134171E-4</v>
      </c>
    </row>
    <row r="23" spans="1:31" x14ac:dyDescent="0.2">
      <c r="A23">
        <f t="shared" si="13"/>
        <v>7761.2701999999999</v>
      </c>
      <c r="B23" s="10" t="s">
        <v>21</v>
      </c>
      <c r="C23" s="10">
        <v>68237.798599999995</v>
      </c>
      <c r="D23" s="10">
        <v>629712.78639999998</v>
      </c>
      <c r="E23" s="10">
        <v>-3.2096836732051033</v>
      </c>
      <c r="F23" s="10">
        <v>2450</v>
      </c>
      <c r="G23" s="10" t="b">
        <v>0</v>
      </c>
      <c r="H23" s="10">
        <v>350</v>
      </c>
      <c r="I23" s="10" t="b">
        <v>0</v>
      </c>
      <c r="J23" s="10">
        <v>50</v>
      </c>
      <c r="K23" s="4"/>
      <c r="L23" s="4"/>
      <c r="M23" s="11">
        <f t="shared" si="0"/>
        <v>50</v>
      </c>
      <c r="N23" s="11">
        <f t="shared" si="1"/>
        <v>-3.2198877548377562</v>
      </c>
      <c r="O23" s="11">
        <f>IF(B23="CLOTHOID",IF(I23=TRUE,-clothoidx(H23,M23-J23),clothoidx(H23,M23)),"")</f>
        <v>49.999479386099814</v>
      </c>
      <c r="P23" s="11">
        <f>IF(B23="CLOTHOID",IF(I23=TRUE,clothoidy(H23,M23-J23),clothoidy(H23,M23))*IF(G23=TRUE,-1,1),"")</f>
        <v>0.17006676235499266</v>
      </c>
      <c r="Q23" s="11">
        <f t="shared" si="2"/>
        <v>68187.938992024254</v>
      </c>
      <c r="R23" s="11">
        <f t="shared" si="3"/>
        <v>629716.52757014974</v>
      </c>
      <c r="S23" s="11">
        <f>IF(B23="CLOTHOID",IF(I23=TRUE,clothoidx(H23,M23),-clothoidx(H23,M23-J23)),"")</f>
        <v>0</v>
      </c>
      <c r="T23" s="11">
        <f>IF(B23="CLOTHOID",IF(I23=TRUE,clothoidy(H23,M23),clothoidy(H23,M23-J23))*IF(G23=TRUE,1,-1),"")</f>
        <v>0</v>
      </c>
      <c r="V23" s="9">
        <f t="shared" si="4"/>
        <v>0</v>
      </c>
      <c r="W23" s="9">
        <f t="shared" si="5"/>
        <v>1.020408163265306E-2</v>
      </c>
      <c r="X23" s="9">
        <f t="shared" si="6"/>
        <v>-3.2198877548377562</v>
      </c>
      <c r="Y23" s="9">
        <f t="shared" si="7"/>
        <v>68187.938992024254</v>
      </c>
      <c r="Z23" s="9">
        <f t="shared" si="8"/>
        <v>629716.52757014974</v>
      </c>
      <c r="AB23" s="21">
        <f t="shared" si="9"/>
        <v>0</v>
      </c>
      <c r="AC23" s="22">
        <f t="shared" si="10"/>
        <v>7.5510204089468402E-7</v>
      </c>
      <c r="AD23" s="22">
        <f t="shared" si="11"/>
        <v>2.1883053705096245E-5</v>
      </c>
      <c r="AE23" s="23">
        <f t="shared" si="12"/>
        <v>-1.864205114543438E-5</v>
      </c>
    </row>
    <row r="24" spans="1:31" x14ac:dyDescent="0.2">
      <c r="A24">
        <f t="shared" si="13"/>
        <v>7811.2701999999999</v>
      </c>
      <c r="B24" s="10" t="s">
        <v>20</v>
      </c>
      <c r="C24" s="10">
        <v>68187.938999999998</v>
      </c>
      <c r="D24" s="10">
        <v>629716.52760000003</v>
      </c>
      <c r="E24" s="10">
        <v>-3.2198886732051033</v>
      </c>
      <c r="F24" s="10">
        <v>0</v>
      </c>
      <c r="G24" s="10" t="b">
        <v>0</v>
      </c>
      <c r="H24" s="10">
        <v>0</v>
      </c>
      <c r="I24" s="10" t="s">
        <v>14</v>
      </c>
      <c r="J24" s="10">
        <v>138.11629999999968</v>
      </c>
      <c r="K24" s="4"/>
      <c r="L24" s="4"/>
      <c r="M24" s="11">
        <f t="shared" si="0"/>
        <v>0</v>
      </c>
      <c r="N24" s="11" t="str">
        <f t="shared" si="1"/>
        <v/>
      </c>
      <c r="O24" s="11" t="str">
        <f>IF(B24="CLOTHOID",IF(I24=TRUE,-clothoidx(H24,M24-J24),clothoidx(H24,M24)),"")</f>
        <v/>
      </c>
      <c r="P24" s="11" t="str">
        <f>IF(B24="CLOTHOID",IF(I24=TRUE,clothoidy(H24,M24-J24),clothoidy(H24,M24))*IF(G24=TRUE,-1,1),"")</f>
        <v/>
      </c>
      <c r="Q24" s="11" t="str">
        <f t="shared" si="2"/>
        <v/>
      </c>
      <c r="R24" s="11" t="str">
        <f t="shared" si="3"/>
        <v/>
      </c>
      <c r="S24" s="11" t="str">
        <f>IF(B24="CLOTHOID",IF(I24=TRUE,clothoidx(H24,M24),-clothoidx(H24,M24-J24)),"")</f>
        <v/>
      </c>
      <c r="T24" s="11" t="str">
        <f>IF(B24="CLOTHOID",IF(I24=TRUE,clothoidy(H24,M24),clothoidy(H24,M24-J24))*IF(G24=TRUE,1,-1),"")</f>
        <v/>
      </c>
      <c r="V24" s="9">
        <f t="shared" si="4"/>
        <v>0</v>
      </c>
      <c r="W24" s="9">
        <f t="shared" si="5"/>
        <v>0</v>
      </c>
      <c r="X24" s="9">
        <f t="shared" si="6"/>
        <v>-3.2198886732051033</v>
      </c>
      <c r="Y24" s="9">
        <f t="shared" si="7"/>
        <v>68050.245828652551</v>
      </c>
      <c r="Z24" s="9">
        <f t="shared" si="8"/>
        <v>629727.33051118057</v>
      </c>
      <c r="AB24" s="21">
        <f t="shared" si="9"/>
        <v>0</v>
      </c>
      <c r="AC24" s="22">
        <f t="shared" si="10"/>
        <v>-9.1836734705807999E-7</v>
      </c>
      <c r="AD24" s="22">
        <f t="shared" si="11"/>
        <v>7.9757446656003594E-6</v>
      </c>
      <c r="AE24" s="23">
        <f t="shared" si="12"/>
        <v>2.985028550028801E-5</v>
      </c>
    </row>
    <row r="25" spans="1:31" x14ac:dyDescent="0.2">
      <c r="A25">
        <f t="shared" si="13"/>
        <v>7949.3864999999996</v>
      </c>
      <c r="B25" s="10" t="s">
        <v>21</v>
      </c>
      <c r="C25" s="10">
        <v>68050.245800000004</v>
      </c>
      <c r="D25" s="10">
        <v>629727.33039999998</v>
      </c>
      <c r="E25" s="10">
        <v>-3.2198886732051033</v>
      </c>
      <c r="F25" s="10">
        <v>0</v>
      </c>
      <c r="G25" s="10" t="b">
        <v>1</v>
      </c>
      <c r="H25" s="10">
        <v>351.19861901778603</v>
      </c>
      <c r="I25" s="10" t="b">
        <v>1</v>
      </c>
      <c r="J25" s="10">
        <v>49.336200000000645</v>
      </c>
      <c r="K25" s="4"/>
      <c r="L25" s="4"/>
      <c r="M25" s="11">
        <f t="shared" si="0"/>
        <v>49.336200000000645</v>
      </c>
      <c r="N25" s="11">
        <f t="shared" si="1"/>
        <v>-3.2198886732051033</v>
      </c>
      <c r="O25" s="11">
        <f>IF(B25="CLOTHOID",IF(I25=TRUE,-clothoidx(H25,M25-J25),clothoidx(H25,M25)),"")</f>
        <v>0</v>
      </c>
      <c r="P25" s="11">
        <f>IF(B25="CLOTHOID",IF(I25=TRUE,clothoidy(H25,M25-J25),clothoidy(H25,M25))*IF(G25=TRUE,-1,1),"")</f>
        <v>0</v>
      </c>
      <c r="Q25" s="11">
        <f t="shared" si="2"/>
        <v>68050.245800000004</v>
      </c>
      <c r="R25" s="11">
        <f t="shared" si="3"/>
        <v>629727.33039999998</v>
      </c>
      <c r="S25" s="11">
        <f>IF(B25="CLOTHOID",IF(I25=TRUE,clothoidx(H25,M25),-clothoidx(H25,M25-J25)),"")</f>
        <v>49.33571965272386</v>
      </c>
      <c r="T25" s="11">
        <f>IF(B25="CLOTHOID",IF(I25=TRUE,clothoidy(H25,M25),clothoidy(H25,M25-J25))*IF(G25=TRUE,1,-1),"")</f>
        <v>0.16226961966266698</v>
      </c>
      <c r="V25" s="9">
        <f t="shared" si="4"/>
        <v>2499.9993919271933</v>
      </c>
      <c r="W25" s="9">
        <f t="shared" si="5"/>
        <v>9.8672424000008398E-3</v>
      </c>
      <c r="X25" s="9">
        <f t="shared" si="6"/>
        <v>-3.2100214308051025</v>
      </c>
      <c r="Y25" s="9">
        <f t="shared" si="7"/>
        <v>68001.048531582157</v>
      </c>
      <c r="Z25" s="9">
        <f t="shared" si="8"/>
        <v>629731.02747253154</v>
      </c>
      <c r="AB25" s="21">
        <f t="shared" si="9"/>
        <v>0</v>
      </c>
      <c r="AC25" s="22">
        <f t="shared" si="10"/>
        <v>0</v>
      </c>
      <c r="AD25" s="22">
        <f t="shared" si="11"/>
        <v>-2.8652546461671591E-5</v>
      </c>
      <c r="AE25" s="23">
        <f t="shared" si="12"/>
        <v>-1.1118059046566486E-4</v>
      </c>
    </row>
    <row r="26" spans="1:31" x14ac:dyDescent="0.2">
      <c r="A26">
        <f t="shared" si="13"/>
        <v>7998.7227000000003</v>
      </c>
      <c r="B26" s="10" t="s">
        <v>22</v>
      </c>
      <c r="C26" s="10">
        <v>68001.048500000004</v>
      </c>
      <c r="D26" s="10">
        <v>629731.02749999997</v>
      </c>
      <c r="E26" s="10">
        <v>-3.2100206732051033</v>
      </c>
      <c r="F26" s="10">
        <v>2500</v>
      </c>
      <c r="G26" s="10" t="b">
        <v>1</v>
      </c>
      <c r="H26" s="10">
        <v>0</v>
      </c>
      <c r="I26" s="10" t="s">
        <v>14</v>
      </c>
      <c r="J26" s="10">
        <v>434.04619999999886</v>
      </c>
      <c r="K26" s="4"/>
      <c r="L26" s="4"/>
      <c r="M26" s="11">
        <f t="shared" si="0"/>
        <v>0</v>
      </c>
      <c r="N26" s="11" t="str">
        <f t="shared" si="1"/>
        <v/>
      </c>
      <c r="O26" s="11" t="str">
        <f>IF(B26="CLOTHOID",IF(I26=TRUE,-clothoidx(H26,M26-J26),clothoidx(H26,M26)),"")</f>
        <v/>
      </c>
      <c r="P26" s="11" t="str">
        <f>IF(B26="CLOTHOID",IF(I26=TRUE,clothoidy(H26,M26-J26),clothoidy(H26,M26))*IF(G26=TRUE,-1,1),"")</f>
        <v/>
      </c>
      <c r="Q26" s="11" t="str">
        <f t="shared" si="2"/>
        <v/>
      </c>
      <c r="R26" s="11" t="str">
        <f t="shared" si="3"/>
        <v/>
      </c>
      <c r="S26" s="11" t="str">
        <f>IF(B26="CLOTHOID",IF(I26=TRUE,clothoidx(H26,M26),-clothoidx(H26,M26-J26)),"")</f>
        <v/>
      </c>
      <c r="T26" s="11" t="str">
        <f>IF(B26="CLOTHOID",IF(I26=TRUE,clothoidy(H26,M26),clothoidy(H26,M26-J26))*IF(G26=TRUE,1,-1),"")</f>
        <v/>
      </c>
      <c r="V26" s="9">
        <f t="shared" si="4"/>
        <v>2500</v>
      </c>
      <c r="W26" s="9">
        <f t="shared" si="5"/>
        <v>0.17361847999999955</v>
      </c>
      <c r="X26" s="9">
        <f t="shared" si="6"/>
        <v>-3.0364021932051037</v>
      </c>
      <c r="Y26" s="9">
        <f t="shared" si="7"/>
        <v>67567.620476693861</v>
      </c>
      <c r="Z26" s="9">
        <f t="shared" si="8"/>
        <v>629723.05966660043</v>
      </c>
      <c r="AB26" s="21">
        <f t="shared" si="9"/>
        <v>6.0807280669905595E-4</v>
      </c>
      <c r="AC26" s="22">
        <f t="shared" si="10"/>
        <v>7.5759999917934806E-7</v>
      </c>
      <c r="AD26" s="22">
        <f t="shared" si="11"/>
        <v>-3.1582152587361634E-5</v>
      </c>
      <c r="AE26" s="23">
        <f t="shared" si="12"/>
        <v>2.7468428015708923E-5</v>
      </c>
    </row>
    <row r="27" spans="1:31" x14ac:dyDescent="0.2">
      <c r="A27">
        <f t="shared" si="13"/>
        <v>8432.7688999999991</v>
      </c>
      <c r="B27" s="10" t="s">
        <v>21</v>
      </c>
      <c r="C27" s="10">
        <v>67567.6204</v>
      </c>
      <c r="D27" s="10">
        <v>629723.05980000005</v>
      </c>
      <c r="E27" s="10">
        <v>-3.036402673205103</v>
      </c>
      <c r="F27" s="10">
        <v>2500</v>
      </c>
      <c r="G27" s="10" t="b">
        <v>1</v>
      </c>
      <c r="H27" s="10">
        <v>376.94591123926523</v>
      </c>
      <c r="I27" s="10" t="b">
        <v>0</v>
      </c>
      <c r="J27" s="10">
        <v>7.499100000000908</v>
      </c>
      <c r="K27" s="4"/>
      <c r="L27" s="4"/>
      <c r="M27" s="11">
        <f t="shared" si="0"/>
        <v>56.835288000000013</v>
      </c>
      <c r="N27" s="11">
        <f t="shared" si="1"/>
        <v>-3.0250356156051033</v>
      </c>
      <c r="O27" s="11">
        <f>IF(B27="CLOTHOID",IF(I27=TRUE,-clothoidx(H27,M27-J27),clothoidx(H27,M27)),"")</f>
        <v>56.834553635645342</v>
      </c>
      <c r="P27" s="11">
        <f>IF(B27="CLOTHOID",IF(I27=TRUE,clothoidy(H27,M27-J27),clothoidy(H27,M27))*IF(G27=TRUE,-1,1),"")</f>
        <v>-0.21534800995106901</v>
      </c>
      <c r="Q27" s="11">
        <f t="shared" si="2"/>
        <v>67511.146430095905</v>
      </c>
      <c r="R27" s="11">
        <f t="shared" si="3"/>
        <v>629716.66420894046</v>
      </c>
      <c r="S27" s="11">
        <f>IF(B27="CLOTHOID",IF(I27=TRUE,clothoidx(H27,M27),-clothoidx(H27,M27-J27)),"")</f>
        <v>-49.335826047305467</v>
      </c>
      <c r="T27" s="11">
        <f>IF(B27="CLOTHOID",IF(I27=TRUE,clothoidy(H27,M27),clothoidy(H27,M27-J27))*IF(G27=TRUE,1,-1),"")</f>
        <v>0.14085918494083605</v>
      </c>
      <c r="V27" s="9">
        <f t="shared" si="4"/>
        <v>2879.9999708125524</v>
      </c>
      <c r="W27" s="9">
        <f t="shared" si="5"/>
        <v>2.8017470965280922E-3</v>
      </c>
      <c r="X27" s="9">
        <f t="shared" si="6"/>
        <v>-3.033600926108575</v>
      </c>
      <c r="Y27" s="9">
        <f t="shared" si="7"/>
        <v>67560.163889362375</v>
      </c>
      <c r="Z27" s="9">
        <f t="shared" si="8"/>
        <v>629722.26173161936</v>
      </c>
      <c r="AB27" s="21">
        <f t="shared" si="9"/>
        <v>0</v>
      </c>
      <c r="AC27" s="22">
        <f t="shared" si="10"/>
        <v>-4.7999999930325998E-7</v>
      </c>
      <c r="AD27" s="22">
        <f t="shared" si="11"/>
        <v>-7.6693861046805978E-5</v>
      </c>
      <c r="AE27" s="23">
        <f t="shared" si="12"/>
        <v>1.3339961878955364E-4</v>
      </c>
    </row>
    <row r="28" spans="1:31" x14ac:dyDescent="0.2">
      <c r="A28">
        <f t="shared" si="13"/>
        <v>8440.268</v>
      </c>
      <c r="B28" s="10" t="s">
        <v>22</v>
      </c>
      <c r="C28" s="10">
        <v>67560.1639</v>
      </c>
      <c r="D28" s="10">
        <v>629722.26170000003</v>
      </c>
      <c r="E28" s="10">
        <v>-3.0336006732051031</v>
      </c>
      <c r="F28" s="10">
        <v>2880</v>
      </c>
      <c r="G28" s="10" t="b">
        <v>1</v>
      </c>
      <c r="H28" s="10">
        <v>0</v>
      </c>
      <c r="I28" s="10" t="s">
        <v>14</v>
      </c>
      <c r="J28" s="10">
        <v>232.54379999999946</v>
      </c>
      <c r="K28" s="4"/>
      <c r="L28" s="4"/>
      <c r="M28" s="11">
        <f t="shared" si="0"/>
        <v>0</v>
      </c>
      <c r="N28" s="11" t="str">
        <f t="shared" si="1"/>
        <v/>
      </c>
      <c r="O28" s="11" t="str">
        <f>IF(B28="CLOTHOID",IF(I28=TRUE,-clothoidx(H28,M28-J28),clothoidx(H28,M28)),"")</f>
        <v/>
      </c>
      <c r="P28" s="11" t="str">
        <f>IF(B28="CLOTHOID",IF(I28=TRUE,clothoidy(H28,M28-J28),clothoidy(H28,M28))*IF(G28=TRUE,-1,1),"")</f>
        <v/>
      </c>
      <c r="Q28" s="11" t="str">
        <f t="shared" si="2"/>
        <v/>
      </c>
      <c r="R28" s="11" t="str">
        <f t="shared" si="3"/>
        <v/>
      </c>
      <c r="S28" s="11" t="str">
        <f>IF(B28="CLOTHOID",IF(I28=TRUE,clothoidx(H28,M28),-clothoidx(H28,M28-J28)),"")</f>
        <v/>
      </c>
      <c r="T28" s="11" t="str">
        <f>IF(B28="CLOTHOID",IF(I28=TRUE,clothoidy(H28,M28),clothoidy(H28,M28-J28))*IF(G28=TRUE,1,-1),"")</f>
        <v/>
      </c>
      <c r="V28" s="9">
        <f t="shared" si="4"/>
        <v>2880</v>
      </c>
      <c r="W28" s="9">
        <f t="shared" si="5"/>
        <v>8.0744374999999813E-2</v>
      </c>
      <c r="X28" s="9">
        <f t="shared" si="6"/>
        <v>-2.9528562982051034</v>
      </c>
      <c r="Y28" s="9">
        <f t="shared" si="7"/>
        <v>67330.237249191225</v>
      </c>
      <c r="Z28" s="9">
        <f t="shared" si="8"/>
        <v>629687.89630345558</v>
      </c>
      <c r="AB28" s="21">
        <f t="shared" si="9"/>
        <v>2.9187447580625303E-5</v>
      </c>
      <c r="AC28" s="22">
        <f t="shared" si="10"/>
        <v>2.5290347194228957E-7</v>
      </c>
      <c r="AD28" s="22">
        <f t="shared" si="11"/>
        <v>1.0637624654918909E-5</v>
      </c>
      <c r="AE28" s="23">
        <f t="shared" si="12"/>
        <v>-3.1619332730770111E-5</v>
      </c>
    </row>
    <row r="29" spans="1:31" x14ac:dyDescent="0.2">
      <c r="A29">
        <f t="shared" si="13"/>
        <v>8672.8117999999995</v>
      </c>
      <c r="B29" s="10" t="s">
        <v>21</v>
      </c>
      <c r="C29" s="10">
        <v>67330.237299999993</v>
      </c>
      <c r="D29" s="10">
        <v>629687.89630000002</v>
      </c>
      <c r="E29" s="10">
        <v>-2.9528566732051038</v>
      </c>
      <c r="F29" s="10">
        <v>2880</v>
      </c>
      <c r="G29" s="10" t="b">
        <v>1</v>
      </c>
      <c r="H29" s="10">
        <v>351.19860478082768</v>
      </c>
      <c r="I29" s="10" t="b">
        <v>1</v>
      </c>
      <c r="J29" s="10">
        <v>9.6586999999999534</v>
      </c>
      <c r="K29" s="4"/>
      <c r="L29" s="4"/>
      <c r="M29" s="11">
        <f t="shared" si="0"/>
        <v>52.485248611111061</v>
      </c>
      <c r="N29" s="11">
        <f t="shared" si="1"/>
        <v>-2.9602918378945327</v>
      </c>
      <c r="O29" s="11">
        <f>IF(B29="CLOTHOID",IF(I29=TRUE,-clothoidx(H29,M29-J29),clothoidx(H29,M29)),"")</f>
        <v>-42.826311858781395</v>
      </c>
      <c r="P29" s="11">
        <f>IF(B29="CLOTHOID",IF(I29=TRUE,clothoidy(H29,M29-J29),clothoidy(H29,M29))*IF(G29=TRUE,-1,1),"")</f>
        <v>-0.10614039488387279</v>
      </c>
      <c r="Q29" s="11">
        <f t="shared" si="2"/>
        <v>67372.342549486959</v>
      </c>
      <c r="R29" s="11">
        <f t="shared" si="3"/>
        <v>629695.72267967707</v>
      </c>
      <c r="S29" s="11">
        <f>IF(B29="CLOTHOID",IF(I29=TRUE,clothoidx(H29,M29),-clothoidx(H29,M29-J29)),"")</f>
        <v>52.484594106565247</v>
      </c>
      <c r="T29" s="11">
        <f>IF(B29="CLOTHOID",IF(I29=TRUE,clothoidy(H29,M29),clothoidy(H29,M29-J29))*IF(G29=TRUE,1,-1),"")</f>
        <v>0.19536694864540557</v>
      </c>
      <c r="V29" s="9">
        <f t="shared" si="4"/>
        <v>2350.0023961759225</v>
      </c>
      <c r="W29" s="9">
        <f t="shared" si="5"/>
        <v>3.7318980966597371E-3</v>
      </c>
      <c r="X29" s="9">
        <f t="shared" si="6"/>
        <v>-2.949124775108444</v>
      </c>
      <c r="Y29" s="9">
        <f t="shared" si="7"/>
        <v>67320.753405600612</v>
      </c>
      <c r="Z29" s="9">
        <f t="shared" si="8"/>
        <v>629686.06705852423</v>
      </c>
      <c r="AB29" s="21">
        <f t="shared" si="9"/>
        <v>0</v>
      </c>
      <c r="AC29" s="22">
        <f t="shared" si="10"/>
        <v>-3.7500000038548365E-7</v>
      </c>
      <c r="AD29" s="22">
        <f t="shared" si="11"/>
        <v>5.0808768719434738E-5</v>
      </c>
      <c r="AE29" s="23">
        <f t="shared" si="12"/>
        <v>-3.4555559977889061E-6</v>
      </c>
    </row>
    <row r="30" spans="1:31" x14ac:dyDescent="0.2">
      <c r="A30">
        <f t="shared" si="13"/>
        <v>8682.4704999999994</v>
      </c>
      <c r="B30" s="10" t="s">
        <v>22</v>
      </c>
      <c r="C30" s="10">
        <v>67320.753400000001</v>
      </c>
      <c r="D30" s="10">
        <v>629686.06709999999</v>
      </c>
      <c r="E30" s="10">
        <v>-2.9491246732051035</v>
      </c>
      <c r="F30" s="10">
        <v>2350</v>
      </c>
      <c r="G30" s="10" t="b">
        <v>1</v>
      </c>
      <c r="H30" s="10">
        <v>0</v>
      </c>
      <c r="I30" s="10" t="s">
        <v>14</v>
      </c>
      <c r="J30" s="10">
        <v>239.60760000000118</v>
      </c>
      <c r="K30" s="4"/>
      <c r="L30" s="4"/>
      <c r="M30" s="11">
        <f t="shared" si="0"/>
        <v>0</v>
      </c>
      <c r="N30" s="11" t="str">
        <f t="shared" si="1"/>
        <v/>
      </c>
      <c r="O30" s="11" t="str">
        <f>IF(B30="CLOTHOID",IF(I30=TRUE,-clothoidx(H30,M30-J30),clothoidx(H30,M30)),"")</f>
        <v/>
      </c>
      <c r="P30" s="11" t="str">
        <f>IF(B30="CLOTHOID",IF(I30=TRUE,clothoidy(H30,M30-J30),clothoidy(H30,M30))*IF(G30=TRUE,-1,1),"")</f>
        <v/>
      </c>
      <c r="Q30" s="11" t="str">
        <f t="shared" si="2"/>
        <v/>
      </c>
      <c r="R30" s="11" t="str">
        <f t="shared" si="3"/>
        <v/>
      </c>
      <c r="S30" s="11" t="str">
        <f>IF(B30="CLOTHOID",IF(I30=TRUE,clothoidx(H30,M30),-clothoidx(H30,M30-J30)),"")</f>
        <v/>
      </c>
      <c r="T30" s="11" t="str">
        <f>IF(B30="CLOTHOID",IF(I30=TRUE,clothoidy(H30,M30),clothoidy(H30,M30-J30))*IF(G30=TRUE,1,-1),"")</f>
        <v/>
      </c>
      <c r="V30" s="9">
        <f t="shared" si="4"/>
        <v>2350</v>
      </c>
      <c r="W30" s="9">
        <f t="shared" si="5"/>
        <v>0.10196068085106433</v>
      </c>
      <c r="X30" s="9">
        <f t="shared" si="6"/>
        <v>-2.8471639923540391</v>
      </c>
      <c r="Y30" s="9">
        <f t="shared" si="7"/>
        <v>67088.311938992032</v>
      </c>
      <c r="Z30" s="9">
        <f t="shared" si="8"/>
        <v>629628.3345376926</v>
      </c>
      <c r="AB30" s="21">
        <f t="shared" si="9"/>
        <v>-2.3961759225130663E-3</v>
      </c>
      <c r="AC30" s="22">
        <f t="shared" si="10"/>
        <v>1.0190334043258531E-7</v>
      </c>
      <c r="AD30" s="22">
        <f t="shared" si="11"/>
        <v>-5.6006101658567786E-6</v>
      </c>
      <c r="AE30" s="23">
        <f t="shared" si="12"/>
        <v>4.1475752368569374E-5</v>
      </c>
    </row>
    <row r="31" spans="1:31" x14ac:dyDescent="0.2">
      <c r="A31">
        <f t="shared" si="13"/>
        <v>8922.0781000000006</v>
      </c>
      <c r="B31" s="10" t="s">
        <v>21</v>
      </c>
      <c r="C31" s="10">
        <v>67088.312000000005</v>
      </c>
      <c r="D31" s="10">
        <v>629628.3345</v>
      </c>
      <c r="E31" s="10">
        <v>-2.8471636732051033</v>
      </c>
      <c r="F31" s="10">
        <v>2350</v>
      </c>
      <c r="G31" s="10" t="b">
        <v>1</v>
      </c>
      <c r="H31" s="10">
        <v>372.94160400791969</v>
      </c>
      <c r="I31" s="10" t="b">
        <v>0</v>
      </c>
      <c r="J31" s="10">
        <v>6.7001999999993131</v>
      </c>
      <c r="K31" s="4"/>
      <c r="L31" s="4"/>
      <c r="M31" s="11">
        <f t="shared" si="0"/>
        <v>59.185293617021266</v>
      </c>
      <c r="N31" s="11">
        <f t="shared" si="1"/>
        <v>-2.8345710575419072</v>
      </c>
      <c r="O31" s="11">
        <f>IF(B31="CLOTHOID",IF(I31=TRUE,-clothoidx(H31,M31-J31),clothoidx(H31,M31)),"")</f>
        <v>59.184355099218386</v>
      </c>
      <c r="P31" s="11">
        <f>IF(B31="CLOTHOID",IF(I31=TRUE,clothoidy(H31,M31-J31),clothoidy(H31,M31))*IF(G31=TRUE,-1,1),"")</f>
        <v>-0.24842973790106226</v>
      </c>
      <c r="Q31" s="11">
        <f t="shared" si="2"/>
        <v>67031.820147069113</v>
      </c>
      <c r="R31" s="11">
        <f t="shared" si="3"/>
        <v>629610.68456633773</v>
      </c>
      <c r="S31" s="11">
        <f>IF(B31="CLOTHOID",IF(I31=TRUE,clothoidx(H31,M31),-clothoidx(H31,M31-J31)),"")</f>
        <v>-52.484578916533565</v>
      </c>
      <c r="T31" s="11">
        <f>IF(B31="CLOTHOID",IF(I31=TRUE,clothoidy(H31,M31),clothoidy(H31,M31-J31))*IF(G31=TRUE,1,-1),"")</f>
        <v>0.17324949097990425</v>
      </c>
      <c r="V31" s="9">
        <f t="shared" si="4"/>
        <v>2649.9988933027607</v>
      </c>
      <c r="W31" s="9">
        <f t="shared" si="5"/>
        <v>2.6897636752828327E-3</v>
      </c>
      <c r="X31" s="9">
        <f t="shared" si="6"/>
        <v>-2.8444739095298206</v>
      </c>
      <c r="Y31" s="9">
        <f t="shared" si="7"/>
        <v>67081.902798165887</v>
      </c>
      <c r="Z31" s="9">
        <f t="shared" si="8"/>
        <v>629626.38135258679</v>
      </c>
      <c r="AB31" s="21">
        <f t="shared" si="9"/>
        <v>0</v>
      </c>
      <c r="AC31" s="22">
        <f t="shared" si="10"/>
        <v>3.1914893572349001E-7</v>
      </c>
      <c r="AD31" s="22">
        <f t="shared" si="11"/>
        <v>6.1007973272353411E-5</v>
      </c>
      <c r="AE31" s="23">
        <f t="shared" si="12"/>
        <v>-3.7692603655159473E-5</v>
      </c>
    </row>
    <row r="32" spans="1:31" x14ac:dyDescent="0.2">
      <c r="A32">
        <f t="shared" si="13"/>
        <v>8928.7782999999999</v>
      </c>
      <c r="B32" s="10" t="s">
        <v>22</v>
      </c>
      <c r="C32" s="10">
        <v>67081.902799999996</v>
      </c>
      <c r="D32" s="10">
        <v>629626.38130000001</v>
      </c>
      <c r="E32" s="10">
        <v>-2.844473673205103</v>
      </c>
      <c r="F32" s="10">
        <v>2650</v>
      </c>
      <c r="G32" s="10" t="b">
        <v>1</v>
      </c>
      <c r="H32" s="10">
        <v>0</v>
      </c>
      <c r="I32" s="10" t="s">
        <v>14</v>
      </c>
      <c r="J32" s="10">
        <v>493.18709999999919</v>
      </c>
      <c r="K32" s="4"/>
      <c r="L32" s="4"/>
      <c r="M32" s="11">
        <f t="shared" si="0"/>
        <v>0</v>
      </c>
      <c r="N32" s="11" t="str">
        <f t="shared" si="1"/>
        <v/>
      </c>
      <c r="O32" s="11" t="str">
        <f>IF(B32="CLOTHOID",IF(I32=TRUE,-clothoidx(H32,M32-J32),clothoidx(H32,M32)),"")</f>
        <v/>
      </c>
      <c r="P32" s="11" t="str">
        <f>IF(B32="CLOTHOID",IF(I32=TRUE,clothoidy(H32,M32-J32),clothoidy(H32,M32))*IF(G32=TRUE,-1,1),"")</f>
        <v/>
      </c>
      <c r="Q32" s="11" t="str">
        <f t="shared" si="2"/>
        <v/>
      </c>
      <c r="R32" s="11" t="str">
        <f t="shared" si="3"/>
        <v/>
      </c>
      <c r="S32" s="11" t="str">
        <f>IF(B32="CLOTHOID",IF(I32=TRUE,clothoidx(H32,M32),-clothoidx(H32,M32-J32)),"")</f>
        <v/>
      </c>
      <c r="T32" s="11" t="str">
        <f>IF(B32="CLOTHOID",IF(I32=TRUE,clothoidy(H32,M32),clothoidy(H32,M32-J32))*IF(G32=TRUE,1,-1),"")</f>
        <v/>
      </c>
      <c r="V32" s="9">
        <f t="shared" si="4"/>
        <v>2650</v>
      </c>
      <c r="W32" s="9">
        <f t="shared" si="5"/>
        <v>0.1861083396226412</v>
      </c>
      <c r="X32" s="9">
        <f t="shared" si="6"/>
        <v>-2.658365333582462</v>
      </c>
      <c r="Y32" s="9">
        <f t="shared" si="7"/>
        <v>66626.440035484324</v>
      </c>
      <c r="Z32" s="9">
        <f t="shared" si="8"/>
        <v>629439.06889669131</v>
      </c>
      <c r="AB32" s="21">
        <f t="shared" si="9"/>
        <v>1.1066972392654861E-3</v>
      </c>
      <c r="AC32" s="22">
        <f t="shared" si="10"/>
        <v>2.3632471757295548E-7</v>
      </c>
      <c r="AD32" s="22">
        <f t="shared" si="11"/>
        <v>1.8341088434681296E-6</v>
      </c>
      <c r="AE32" s="23">
        <f t="shared" si="12"/>
        <v>-5.2586779929697514E-5</v>
      </c>
    </row>
    <row r="33" spans="1:31" x14ac:dyDescent="0.2">
      <c r="A33">
        <f t="shared" si="13"/>
        <v>9421.9653999999991</v>
      </c>
      <c r="B33" s="10" t="s">
        <v>21</v>
      </c>
      <c r="C33" s="10">
        <v>66626.439899999998</v>
      </c>
      <c r="D33" s="10">
        <v>629439.06909999996</v>
      </c>
      <c r="E33" s="10">
        <v>-2.6583656732051031</v>
      </c>
      <c r="F33" s="10">
        <v>2650</v>
      </c>
      <c r="G33" s="10" t="b">
        <v>1</v>
      </c>
      <c r="H33" s="10">
        <v>387.09232748790049</v>
      </c>
      <c r="I33" s="10" t="b">
        <v>0</v>
      </c>
      <c r="J33" s="10">
        <v>56.543600000000879</v>
      </c>
      <c r="K33" s="4"/>
      <c r="L33" s="4"/>
      <c r="M33" s="11">
        <f t="shared" si="0"/>
        <v>56.543573584905658</v>
      </c>
      <c r="N33" s="11">
        <f t="shared" si="1"/>
        <v>-2.6476970744155004</v>
      </c>
      <c r="O33" s="11">
        <f>IF(B33="CLOTHOID",IF(I33=TRUE,-clothoidx(H33,M33-J33),clothoidx(H33,M33)),"")</f>
        <v>56.54293001499596</v>
      </c>
      <c r="P33" s="11">
        <f>IF(B33="CLOTHOID",IF(I33=TRUE,clothoidy(H33,M33-J33),clothoidy(H33,M33))*IF(G33=TRUE,-1,1),"")</f>
        <v>-0.20107859880726797</v>
      </c>
      <c r="Q33" s="11">
        <f t="shared" si="2"/>
        <v>66576.558933562454</v>
      </c>
      <c r="R33" s="11">
        <f t="shared" si="3"/>
        <v>629412.44143478991</v>
      </c>
      <c r="S33" s="11">
        <f>IF(B33="CLOTHOID",IF(I33=TRUE,clothoidx(H33,M33),-clothoidx(H33,M33-J33)),"")</f>
        <v>2.6415095220500007E-5</v>
      </c>
      <c r="T33" s="11">
        <f>IF(B33="CLOTHOID",IF(I33=TRUE,clothoidy(H33,M33),clothoidy(H33,M33-J33))*IF(G33=TRUE,1,-1),"")</f>
        <v>-2.0501052825315647E-20</v>
      </c>
      <c r="V33" s="9">
        <f t="shared" si="4"/>
        <v>0</v>
      </c>
      <c r="W33" s="9">
        <f t="shared" si="5"/>
        <v>1.0668598789602511E-2</v>
      </c>
      <c r="X33" s="9">
        <f t="shared" si="6"/>
        <v>-2.6476970744155004</v>
      </c>
      <c r="Y33" s="9">
        <f t="shared" si="7"/>
        <v>66576.558910304157</v>
      </c>
      <c r="Z33" s="9">
        <f t="shared" si="8"/>
        <v>629412.44142226758</v>
      </c>
      <c r="AB33" s="21">
        <f t="shared" si="9"/>
        <v>0</v>
      </c>
      <c r="AC33" s="22">
        <f t="shared" si="10"/>
        <v>-3.3962264112119556E-7</v>
      </c>
      <c r="AD33" s="22">
        <f t="shared" si="11"/>
        <v>-1.3548432616516948E-4</v>
      </c>
      <c r="AE33" s="23">
        <f t="shared" si="12"/>
        <v>2.0330864936113358E-4</v>
      </c>
    </row>
    <row r="34" spans="1:31" x14ac:dyDescent="0.2">
      <c r="A34">
        <f t="shared" si="13"/>
        <v>9478.509</v>
      </c>
      <c r="B34" s="10" t="s">
        <v>20</v>
      </c>
      <c r="C34" s="10">
        <v>66576.558999999994</v>
      </c>
      <c r="D34" s="10">
        <v>629412.44140000001</v>
      </c>
      <c r="E34" s="10">
        <v>-2.647696673205103</v>
      </c>
      <c r="F34" s="10">
        <v>0</v>
      </c>
      <c r="G34" s="10" t="b">
        <v>0</v>
      </c>
      <c r="H34" s="10">
        <v>0</v>
      </c>
      <c r="I34" s="10" t="s">
        <v>14</v>
      </c>
      <c r="J34" s="10">
        <v>126.60150000000067</v>
      </c>
      <c r="K34" s="4"/>
      <c r="L34" s="4"/>
      <c r="M34" s="11">
        <f t="shared" si="0"/>
        <v>0</v>
      </c>
      <c r="N34" s="11" t="str">
        <f t="shared" si="1"/>
        <v/>
      </c>
      <c r="O34" s="11" t="str">
        <f>IF(B34="CLOTHOID",IF(I34=TRUE,-clothoidx(H34,M34-J34),clothoidx(H34,M34)),"")</f>
        <v/>
      </c>
      <c r="P34" s="11" t="str">
        <f>IF(B34="CLOTHOID",IF(I34=TRUE,clothoidy(H34,M34-J34),clothoidy(H34,M34))*IF(G34=TRUE,-1,1),"")</f>
        <v/>
      </c>
      <c r="Q34" s="11" t="str">
        <f t="shared" si="2"/>
        <v/>
      </c>
      <c r="R34" s="11" t="str">
        <f t="shared" si="3"/>
        <v/>
      </c>
      <c r="S34" s="11" t="str">
        <f>IF(B34="CLOTHOID",IF(I34=TRUE,clothoidx(H34,M34),-clothoidx(H34,M34-J34)),"")</f>
        <v/>
      </c>
      <c r="T34" s="11" t="str">
        <f>IF(B34="CLOTHOID",IF(I34=TRUE,clothoidy(H34,M34),clothoidy(H34,M34-J34))*IF(G34=TRUE,1,-1),"")</f>
        <v/>
      </c>
      <c r="V34" s="9">
        <f t="shared" si="4"/>
        <v>0</v>
      </c>
      <c r="W34" s="9">
        <f t="shared" si="5"/>
        <v>0</v>
      </c>
      <c r="X34" s="9">
        <f t="shared" si="6"/>
        <v>-2.647696673205103</v>
      </c>
      <c r="Y34" s="9">
        <f t="shared" si="7"/>
        <v>66465.087313858778</v>
      </c>
      <c r="Z34" s="9">
        <f t="shared" si="8"/>
        <v>629352.42471072869</v>
      </c>
      <c r="AB34" s="21">
        <f t="shared" si="9"/>
        <v>0</v>
      </c>
      <c r="AC34" s="22">
        <f t="shared" si="10"/>
        <v>4.0121039734941633E-7</v>
      </c>
      <c r="AD34" s="22">
        <f t="shared" si="11"/>
        <v>8.9695837232284248E-5</v>
      </c>
      <c r="AE34" s="23">
        <f t="shared" si="12"/>
        <v>-2.2267573513090611E-5</v>
      </c>
    </row>
    <row r="35" spans="1:31" x14ac:dyDescent="0.2">
      <c r="A35">
        <f t="shared" si="13"/>
        <v>9605.1105000000007</v>
      </c>
      <c r="B35" s="10" t="s">
        <v>21</v>
      </c>
      <c r="C35" s="10">
        <v>66465.087199999994</v>
      </c>
      <c r="D35" s="10">
        <v>629352.42469999997</v>
      </c>
      <c r="E35" s="10">
        <v>-2.647696673205103</v>
      </c>
      <c r="F35" s="10">
        <v>0</v>
      </c>
      <c r="G35" s="10" t="b">
        <v>0</v>
      </c>
      <c r="H35" s="10">
        <v>351.19595669654285</v>
      </c>
      <c r="I35" s="10" t="b">
        <v>1</v>
      </c>
      <c r="J35" s="10">
        <v>56.063000000000102</v>
      </c>
      <c r="K35" s="4"/>
      <c r="L35" s="4"/>
      <c r="M35" s="11">
        <f t="shared" si="0"/>
        <v>56.063000000000102</v>
      </c>
      <c r="N35" s="11">
        <f t="shared" si="1"/>
        <v>-2.647696673205103</v>
      </c>
      <c r="O35" s="11">
        <f>IF(B35="CLOTHOID",IF(I35=TRUE,-clothoidx(H35,M35-J35),clothoidx(H35,M35)),"")</f>
        <v>0</v>
      </c>
      <c r="P35" s="11">
        <f>IF(B35="CLOTHOID",IF(I35=TRUE,clothoidy(H35,M35-J35),clothoidy(H35,M35))*IF(G35=TRUE,-1,1),"")</f>
        <v>0</v>
      </c>
      <c r="Q35" s="11">
        <f t="shared" si="2"/>
        <v>66465.087199999994</v>
      </c>
      <c r="R35" s="11">
        <f t="shared" si="3"/>
        <v>629352.42469999997</v>
      </c>
      <c r="S35" s="11">
        <f>IF(B35="CLOTHOID",IF(I35=TRUE,clothoidx(H35,M35),-clothoidx(H35,M35-J35)),"")</f>
        <v>56.06208983446998</v>
      </c>
      <c r="T35" s="11">
        <f>IF(B35="CLOTHOID",IF(I35=TRUE,clothoidy(H35,M35),clothoidy(H35,M35-J35))*IF(G35=TRUE,1,-1),"")</f>
        <v>-0.23810784252543124</v>
      </c>
      <c r="V35" s="9">
        <f t="shared" si="4"/>
        <v>2199.9999999999959</v>
      </c>
      <c r="W35" s="9">
        <f t="shared" si="5"/>
        <v>1.2741590909090954E-2</v>
      </c>
      <c r="X35" s="9">
        <f t="shared" si="6"/>
        <v>-2.6604382641141942</v>
      </c>
      <c r="Y35" s="9">
        <f t="shared" si="7"/>
        <v>66415.612066396949</v>
      </c>
      <c r="Z35" s="9">
        <f t="shared" si="8"/>
        <v>629326.05756578117</v>
      </c>
      <c r="AB35" s="21">
        <f t="shared" si="9"/>
        <v>0</v>
      </c>
      <c r="AC35" s="22">
        <f t="shared" si="10"/>
        <v>0</v>
      </c>
      <c r="AD35" s="22">
        <f t="shared" si="11"/>
        <v>-1.1385878315195441E-4</v>
      </c>
      <c r="AE35" s="23">
        <f t="shared" si="12"/>
        <v>-1.0728719644248486E-5</v>
      </c>
    </row>
    <row r="36" spans="1:31" x14ac:dyDescent="0.2">
      <c r="A36">
        <f t="shared" si="13"/>
        <v>9661.1735000000008</v>
      </c>
      <c r="B36" s="10" t="s">
        <v>22</v>
      </c>
      <c r="C36" s="10">
        <v>66415.612099999998</v>
      </c>
      <c r="D36" s="10">
        <v>629326.05759999994</v>
      </c>
      <c r="E36" s="10">
        <v>-2.6604386732051033</v>
      </c>
      <c r="F36" s="10">
        <v>2200</v>
      </c>
      <c r="G36" s="10" t="b">
        <v>0</v>
      </c>
      <c r="H36" s="10">
        <v>0</v>
      </c>
      <c r="I36" s="10" t="s">
        <v>14</v>
      </c>
      <c r="J36" s="10">
        <v>1433.0612999999994</v>
      </c>
      <c r="K36" s="4"/>
      <c r="L36" s="4"/>
      <c r="M36" s="11">
        <f t="shared" ref="M36:M72" si="14">IF(I36=FALSE,H36*H36/F36,IF(I36=TRUE,IF(F36&lt;&gt;0,H36*H36/F36+J36,J36),0))</f>
        <v>0</v>
      </c>
      <c r="N36" s="11" t="str">
        <f t="shared" ref="N36:N67" si="15">IF(I36=TRUE,IF(F36=0,E36,X36-M36*M36/(H36*H36*2)*IF(G36=TRUE,1,-1)),IF(I36=FALSE,IF(V36=0,X36,E36+M36*M36/(H36*H36*2)*IF(G36=TRUE,1,-1)),""))</f>
        <v/>
      </c>
      <c r="O36" s="11" t="str">
        <f>IF(B36="CLOTHOID",IF(I36=TRUE,-clothoidx(H36,M36-J36),clothoidx(H36,M36)),"")</f>
        <v/>
      </c>
      <c r="P36" s="11" t="str">
        <f>IF(B36="CLOTHOID",IF(I36=TRUE,clothoidy(H36,M36-J36),clothoidy(H36,M36))*IF(G36=TRUE,-1,1),"")</f>
        <v/>
      </c>
      <c r="Q36" s="11" t="str">
        <f t="shared" ref="Q36:Q67" si="16">IF(B36="CLOTHOID",C36+O36*COS(N36)-P36*SIN(N36),"")</f>
        <v/>
      </c>
      <c r="R36" s="11" t="str">
        <f t="shared" ref="R36:R72" si="17">IF(B36="CLOTHOID",D36+O36*SIN(N36)+P36*COS(N36),"")</f>
        <v/>
      </c>
      <c r="S36" s="11" t="str">
        <f>IF(B36="CLOTHOID",IF(I36=TRUE,clothoidx(H36,M36),-clothoidx(H36,M36-J36)),"")</f>
        <v/>
      </c>
      <c r="T36" s="11" t="str">
        <f>IF(B36="CLOTHOID",IF(I36=TRUE,clothoidy(H36,M36),clothoidy(H36,M36-J36))*IF(G36=TRUE,1,-1),"")</f>
        <v/>
      </c>
      <c r="V36" s="9">
        <f t="shared" ref="V36:V72" si="18">IF(B36="ARC",F36,IF(I36=TRUE,H36*H36/M36,IF(I36=FALSE,IF(ABS(M36-J36)&lt;$AD$1,0,H36*H36/(M36-J36)),0)))</f>
        <v>2200</v>
      </c>
      <c r="W36" s="9">
        <f t="shared" ref="W36:W72" si="19">IF(B36="STRAIGHT",0,IF(B36="ARC",J36/F36,IF(B36="CLOTHOID",(J36*(2*M36-J36)/(2*H36*H36)),"UNDEFINED")))</f>
        <v>0.65139149999999968</v>
      </c>
      <c r="X36" s="9">
        <f t="shared" ref="X36:X67" si="20">E36+W36*IF(G36=TRUE,1,-1)</f>
        <v>-3.3118301732051032</v>
      </c>
      <c r="Y36" s="9">
        <f t="shared" ref="Y36:Y72" si="21">IF(B36="STRAIGHT",J36*COS(E36)+C36,IF(B36="ARC",2*F36*SIN(W36/2)*COS(W36/2*IF(G36=TRUE,1,-1)+E36)+C36,Q36+S36*COS(N36)-T36*SIN(N36)))</f>
        <v>65024.730558291289</v>
      </c>
      <c r="Z36" s="9">
        <f t="shared" ref="Z36:Z72" si="22">IF(B36="STRAIGHT",J36*SIN(E36)+D36,IF(B36="ARC",2*F36*SIN(W36/2)*SIN(W36/2*IF(G36=TRUE,1,-1)+E36)+D36,R36+S36*SIN(N36)+T36*COS(N36)))</f>
        <v>629108.0747650665</v>
      </c>
      <c r="AB36" s="21">
        <f t="shared" si="9"/>
        <v>4.0927261579781771E-12</v>
      </c>
      <c r="AC36" s="22">
        <f t="shared" si="10"/>
        <v>-4.0909090914809099E-7</v>
      </c>
      <c r="AD36" s="22">
        <f t="shared" si="11"/>
        <v>3.360304981470108E-5</v>
      </c>
      <c r="AE36" s="23">
        <f t="shared" si="12"/>
        <v>3.4218770451843739E-5</v>
      </c>
    </row>
    <row r="37" spans="1:31" x14ac:dyDescent="0.2">
      <c r="A37">
        <f t="shared" si="13"/>
        <v>11094.2348</v>
      </c>
      <c r="B37" s="10" t="s">
        <v>21</v>
      </c>
      <c r="C37" s="10">
        <v>65024.730600000003</v>
      </c>
      <c r="D37" s="10">
        <v>629108.07479999994</v>
      </c>
      <c r="E37" s="10">
        <v>-3.3118296732051036</v>
      </c>
      <c r="F37" s="10">
        <v>2200</v>
      </c>
      <c r="G37" s="10" t="b">
        <v>0</v>
      </c>
      <c r="H37" s="10">
        <v>351.1986617286575</v>
      </c>
      <c r="I37" s="10" t="b">
        <v>0</v>
      </c>
      <c r="J37" s="10">
        <v>56.063799999999901</v>
      </c>
      <c r="K37" s="4"/>
      <c r="L37" s="4"/>
      <c r="M37" s="11">
        <f t="shared" si="14"/>
        <v>56.063863636363635</v>
      </c>
      <c r="N37" s="11">
        <f t="shared" si="15"/>
        <v>-3.3245714603951697</v>
      </c>
      <c r="O37" s="11">
        <f>IF(B37="CLOTHOID",IF(I37=TRUE,-clothoidx(H37,M37-J37),clothoidx(H37,M37)),"")</f>
        <v>56.062953428770463</v>
      </c>
      <c r="P37" s="11">
        <f>IF(B37="CLOTHOID",IF(I37=TRUE,clothoidy(H37,M37-J37),clothoidy(H37,M37))*IF(G37=TRUE,-1,1),"")</f>
        <v>0.23811517847928318</v>
      </c>
      <c r="Q37" s="11">
        <f t="shared" si="16"/>
        <v>64969.560232295727</v>
      </c>
      <c r="R37" s="11">
        <f t="shared" si="17"/>
        <v>629118.04184436472</v>
      </c>
      <c r="S37" s="11">
        <f>IF(B37="CLOTHOID",IF(I37=TRUE,clothoidx(H37,M37),-clothoidx(H37,M37-J37)),"")</f>
        <v>-6.363636373407644E-5</v>
      </c>
      <c r="T37" s="11">
        <f>IF(B37="CLOTHOID",IF(I37=TRUE,clothoidy(H37,M37),clothoidy(H37,M37-J37))*IF(G37=TRUE,1,-1),"")</f>
        <v>-3.4822433006775366E-19</v>
      </c>
      <c r="V37" s="9">
        <f t="shared" si="18"/>
        <v>0</v>
      </c>
      <c r="W37" s="9">
        <f t="shared" si="19"/>
        <v>1.2741787190066228E-2</v>
      </c>
      <c r="X37" s="9">
        <f t="shared" si="20"/>
        <v>-3.3245714603951697</v>
      </c>
      <c r="Y37" s="9">
        <f t="shared" si="21"/>
        <v>64969.560294869749</v>
      </c>
      <c r="Z37" s="9">
        <f t="shared" si="22"/>
        <v>629118.04183278547</v>
      </c>
      <c r="AB37" s="21">
        <f t="shared" ref="AB37:AB72" si="23">F37-V36</f>
        <v>0</v>
      </c>
      <c r="AC37" s="22">
        <f t="shared" ref="AC37:AC72" si="24">E37-X36</f>
        <v>4.9999999962579977E-7</v>
      </c>
      <c r="AD37" s="22">
        <f t="shared" ref="AD37:AD72" si="25">C37-Y36</f>
        <v>4.1708713979460299E-5</v>
      </c>
      <c r="AE37" s="23">
        <f t="shared" ref="AE37:AE72" si="26">D37-Z36</f>
        <v>3.4933444112539291E-5</v>
      </c>
    </row>
    <row r="38" spans="1:31" x14ac:dyDescent="0.2">
      <c r="A38">
        <f t="shared" si="13"/>
        <v>11150.2986</v>
      </c>
      <c r="B38" s="10" t="s">
        <v>20</v>
      </c>
      <c r="C38" s="10">
        <v>64969.5602</v>
      </c>
      <c r="D38" s="10">
        <v>629118.04180000001</v>
      </c>
      <c r="E38" s="10">
        <v>-3.3245716732051038</v>
      </c>
      <c r="F38" s="10">
        <v>0</v>
      </c>
      <c r="G38" s="10" t="b">
        <v>0</v>
      </c>
      <c r="H38" s="10">
        <v>0</v>
      </c>
      <c r="I38" s="10" t="s">
        <v>14</v>
      </c>
      <c r="J38" s="10">
        <v>104.78590000000077</v>
      </c>
      <c r="K38" s="4"/>
      <c r="L38" s="4"/>
      <c r="M38" s="11">
        <f t="shared" si="14"/>
        <v>0</v>
      </c>
      <c r="N38" s="11" t="str">
        <f t="shared" si="15"/>
        <v/>
      </c>
      <c r="O38" s="11" t="str">
        <f>IF(B38="CLOTHOID",IF(I38=TRUE,-clothoidx(H38,M38-J38),clothoidx(H38,M38)),"")</f>
        <v/>
      </c>
      <c r="P38" s="11" t="str">
        <f>IF(B38="CLOTHOID",IF(I38=TRUE,clothoidy(H38,M38-J38),clothoidy(H38,M38))*IF(G38=TRUE,-1,1),"")</f>
        <v/>
      </c>
      <c r="Q38" s="11" t="str">
        <f t="shared" si="16"/>
        <v/>
      </c>
      <c r="R38" s="11" t="str">
        <f t="shared" si="17"/>
        <v/>
      </c>
      <c r="S38" s="11" t="str">
        <f>IF(B38="CLOTHOID",IF(I38=TRUE,clothoidx(H38,M38),-clothoidx(H38,M38-J38)),"")</f>
        <v/>
      </c>
      <c r="T38" s="11" t="str">
        <f>IF(B38="CLOTHOID",IF(I38=TRUE,clothoidy(H38,M38),clothoidy(H38,M38-J38))*IF(G38=TRUE,1,-1),"")</f>
        <v/>
      </c>
      <c r="V38" s="9">
        <f t="shared" si="18"/>
        <v>0</v>
      </c>
      <c r="W38" s="9">
        <f t="shared" si="19"/>
        <v>0</v>
      </c>
      <c r="X38" s="9">
        <f t="shared" si="20"/>
        <v>-3.3245716732051038</v>
      </c>
      <c r="Y38" s="9">
        <f t="shared" si="21"/>
        <v>64866.52359629867</v>
      </c>
      <c r="Z38" s="9">
        <f t="shared" si="22"/>
        <v>629137.10860719229</v>
      </c>
      <c r="AB38" s="21">
        <f t="shared" si="23"/>
        <v>0</v>
      </c>
      <c r="AC38" s="22">
        <f t="shared" si="24"/>
        <v>-2.128099341192069E-7</v>
      </c>
      <c r="AD38" s="22">
        <f t="shared" si="25"/>
        <v>-9.4869748863857239E-5</v>
      </c>
      <c r="AE38" s="23">
        <f t="shared" si="26"/>
        <v>-3.2785465009510517E-5</v>
      </c>
    </row>
    <row r="39" spans="1:31" x14ac:dyDescent="0.2">
      <c r="A39">
        <f t="shared" si="13"/>
        <v>11255.084500000001</v>
      </c>
      <c r="B39" s="10" t="s">
        <v>21</v>
      </c>
      <c r="C39" s="10">
        <v>64866.523699999998</v>
      </c>
      <c r="D39" s="10">
        <v>629137.10869999998</v>
      </c>
      <c r="E39" s="10">
        <v>-3.3245716732051038</v>
      </c>
      <c r="F39" s="10">
        <v>0</v>
      </c>
      <c r="G39" s="10" t="b">
        <v>1</v>
      </c>
      <c r="H39" s="10">
        <v>351.1986617286575</v>
      </c>
      <c r="I39" s="10" t="b">
        <v>1</v>
      </c>
      <c r="J39" s="10">
        <v>29.72059999999874</v>
      </c>
      <c r="K39" s="4"/>
      <c r="L39" s="4"/>
      <c r="M39" s="11">
        <f t="shared" si="14"/>
        <v>29.72059999999874</v>
      </c>
      <c r="N39" s="11">
        <f t="shared" si="15"/>
        <v>-3.3245716732051038</v>
      </c>
      <c r="O39" s="11">
        <f>IF(B39="CLOTHOID",IF(I39=TRUE,-clothoidx(H39,M39-J39),clothoidx(H39,M39)),"")</f>
        <v>0</v>
      </c>
      <c r="P39" s="11">
        <f>IF(B39="CLOTHOID",IF(I39=TRUE,clothoidy(H39,M39-J39),clothoidy(H39,M39))*IF(G39=TRUE,-1,1),"")</f>
        <v>0</v>
      </c>
      <c r="Q39" s="11">
        <f t="shared" si="16"/>
        <v>64866.523699999998</v>
      </c>
      <c r="R39" s="11">
        <f t="shared" si="17"/>
        <v>629137.10869999998</v>
      </c>
      <c r="S39" s="11">
        <f>IF(B39="CLOTHOID",IF(I39=TRUE,clothoidx(H39,M39),-clothoidx(H39,M39-J39)),"")</f>
        <v>29.720561891971851</v>
      </c>
      <c r="T39" s="11">
        <f>IF(B39="CLOTHOID",IF(I39=TRUE,clothoidy(H39,M39),clothoidy(H39,M39-J39))*IF(G39=TRUE,1,-1),"")</f>
        <v>3.5474425050150707E-2</v>
      </c>
      <c r="V39" s="9">
        <f t="shared" si="18"/>
        <v>4150.0003364671384</v>
      </c>
      <c r="W39" s="9">
        <f t="shared" si="19"/>
        <v>3.5807948904047131E-3</v>
      </c>
      <c r="X39" s="9">
        <f t="shared" si="20"/>
        <v>-3.3209908783146993</v>
      </c>
      <c r="Y39" s="9">
        <f t="shared" si="21"/>
        <v>64837.292838391077</v>
      </c>
      <c r="Z39" s="9">
        <f t="shared" si="22"/>
        <v>629142.48176125123</v>
      </c>
      <c r="AB39" s="21">
        <f t="shared" si="23"/>
        <v>0</v>
      </c>
      <c r="AC39" s="22">
        <f t="shared" si="24"/>
        <v>0</v>
      </c>
      <c r="AD39" s="22">
        <f t="shared" si="25"/>
        <v>1.0370132804382592E-4</v>
      </c>
      <c r="AE39" s="23">
        <f t="shared" si="26"/>
        <v>9.2807691544294357E-5</v>
      </c>
    </row>
    <row r="40" spans="1:31" x14ac:dyDescent="0.2">
      <c r="A40">
        <f t="shared" si="13"/>
        <v>11284.8051</v>
      </c>
      <c r="B40" s="10" t="s">
        <v>22</v>
      </c>
      <c r="C40" s="10">
        <v>64837.292800000003</v>
      </c>
      <c r="D40" s="10">
        <v>629142.4817</v>
      </c>
      <c r="E40" s="10">
        <v>-3.3209906732051033</v>
      </c>
      <c r="F40" s="10">
        <v>4150</v>
      </c>
      <c r="G40" s="10" t="b">
        <v>1</v>
      </c>
      <c r="H40" s="10">
        <v>0</v>
      </c>
      <c r="I40" s="10" t="s">
        <v>14</v>
      </c>
      <c r="J40" s="10">
        <v>252.92540000000008</v>
      </c>
      <c r="K40" s="4"/>
      <c r="L40" s="4"/>
      <c r="M40" s="11">
        <f t="shared" si="14"/>
        <v>0</v>
      </c>
      <c r="N40" s="11" t="str">
        <f t="shared" si="15"/>
        <v/>
      </c>
      <c r="O40" s="11" t="str">
        <f>IF(B40="CLOTHOID",IF(I40=TRUE,-clothoidx(H40,M40-J40),clothoidx(H40,M40)),"")</f>
        <v/>
      </c>
      <c r="P40" s="11" t="str">
        <f>IF(B40="CLOTHOID",IF(I40=TRUE,clothoidy(H40,M40-J40),clothoidy(H40,M40))*IF(G40=TRUE,-1,1),"")</f>
        <v/>
      </c>
      <c r="Q40" s="11" t="str">
        <f t="shared" si="16"/>
        <v/>
      </c>
      <c r="R40" s="11" t="str">
        <f t="shared" si="17"/>
        <v/>
      </c>
      <c r="S40" s="11" t="str">
        <f>IF(B40="CLOTHOID",IF(I40=TRUE,clothoidx(H40,M40),-clothoidx(H40,M40-J40)),"")</f>
        <v/>
      </c>
      <c r="T40" s="11" t="str">
        <f>IF(B40="CLOTHOID",IF(I40=TRUE,clothoidy(H40,M40),clothoidy(H40,M40-J40))*IF(G40=TRUE,1,-1),"")</f>
        <v/>
      </c>
      <c r="V40" s="9">
        <f t="shared" si="18"/>
        <v>4150</v>
      </c>
      <c r="W40" s="9">
        <f t="shared" si="19"/>
        <v>6.0945879518072309E-2</v>
      </c>
      <c r="X40" s="9">
        <f t="shared" si="20"/>
        <v>-3.2600447936870309</v>
      </c>
      <c r="Y40" s="9">
        <f t="shared" si="21"/>
        <v>64587.205705001848</v>
      </c>
      <c r="Z40" s="9">
        <f t="shared" si="22"/>
        <v>629180.0037481063</v>
      </c>
      <c r="AB40" s="21">
        <f t="shared" si="23"/>
        <v>-3.3646713836787967E-4</v>
      </c>
      <c r="AC40" s="22">
        <f t="shared" si="24"/>
        <v>2.0510959597430656E-7</v>
      </c>
      <c r="AD40" s="22">
        <f t="shared" si="25"/>
        <v>-3.839107375824824E-5</v>
      </c>
      <c r="AE40" s="23">
        <f t="shared" si="26"/>
        <v>-6.1251223087310791E-5</v>
      </c>
    </row>
    <row r="41" spans="1:31" x14ac:dyDescent="0.2">
      <c r="A41">
        <f t="shared" si="13"/>
        <v>11537.7305</v>
      </c>
      <c r="B41" s="10" t="s">
        <v>21</v>
      </c>
      <c r="C41" s="10">
        <v>64587.205699999999</v>
      </c>
      <c r="D41" s="10">
        <v>629180.00390000001</v>
      </c>
      <c r="E41" s="10">
        <v>-3.2600456732051031</v>
      </c>
      <c r="F41" s="10">
        <v>4150</v>
      </c>
      <c r="G41" s="10" t="b">
        <v>1</v>
      </c>
      <c r="H41" s="10">
        <v>351.1986617286575</v>
      </c>
      <c r="I41" s="10" t="b">
        <v>1</v>
      </c>
      <c r="J41" s="10">
        <v>1.1144999999996799</v>
      </c>
      <c r="K41" s="4"/>
      <c r="L41" s="4"/>
      <c r="M41" s="11">
        <f t="shared" si="14"/>
        <v>30.835102409638235</v>
      </c>
      <c r="N41" s="11">
        <f t="shared" si="15"/>
        <v>-3.263626468676144</v>
      </c>
      <c r="O41" s="11">
        <f>IF(B41="CLOTHOID",IF(I41=TRUE,-clothoidx(H41,M41-J41),clothoidx(H41,M41)),"")</f>
        <v>-29.720564301596216</v>
      </c>
      <c r="P41" s="11">
        <f>IF(B41="CLOTHOID",IF(I41=TRUE,clothoidy(H41,M41-J41),clothoidy(H41,M41))*IF(G41=TRUE,-1,1),"")</f>
        <v>-3.5474433678558903E-2</v>
      </c>
      <c r="Q41" s="11">
        <f t="shared" si="16"/>
        <v>64616.709554083624</v>
      </c>
      <c r="R41" s="11">
        <f t="shared" si="17"/>
        <v>629176.42119221773</v>
      </c>
      <c r="S41" s="11">
        <f>IF(B41="CLOTHOID",IF(I41=TRUE,clothoidx(H41,M41),-clothoidx(H41,M41-J41)),"")</f>
        <v>30.835056600135754</v>
      </c>
      <c r="T41" s="11">
        <f>IF(B41="CLOTHOID",IF(I41=TRUE,clothoidy(H41,M41),clothoidy(H41,M41-J41))*IF(G41=TRUE,1,-1),"")</f>
        <v>3.9616743128348571E-2</v>
      </c>
      <c r="V41" s="9">
        <f t="shared" si="18"/>
        <v>4000.0029304733889</v>
      </c>
      <c r="W41" s="9">
        <f t="shared" si="19"/>
        <v>2.7358950637083765E-4</v>
      </c>
      <c r="X41" s="9">
        <f t="shared" si="20"/>
        <v>-3.2597720836987323</v>
      </c>
      <c r="Y41" s="9">
        <f t="shared" si="21"/>
        <v>64586.098991809784</v>
      </c>
      <c r="Z41" s="9">
        <f t="shared" si="22"/>
        <v>629180.13545692281</v>
      </c>
      <c r="AB41" s="21">
        <f t="shared" si="23"/>
        <v>0</v>
      </c>
      <c r="AC41" s="22">
        <f t="shared" si="24"/>
        <v>-8.7951807214992073E-7</v>
      </c>
      <c r="AD41" s="22">
        <f t="shared" si="25"/>
        <v>-5.001849785912782E-6</v>
      </c>
      <c r="AE41" s="23">
        <f t="shared" si="26"/>
        <v>1.5189370606094599E-4</v>
      </c>
    </row>
    <row r="42" spans="1:31" x14ac:dyDescent="0.2">
      <c r="A42">
        <f t="shared" si="13"/>
        <v>11538.844999999999</v>
      </c>
      <c r="B42" s="10" t="s">
        <v>22</v>
      </c>
      <c r="C42" s="10">
        <v>64586.099000000002</v>
      </c>
      <c r="D42" s="10">
        <v>629180.13549999997</v>
      </c>
      <c r="E42" s="10">
        <v>-3.2597716732051039</v>
      </c>
      <c r="F42" s="10">
        <v>4000</v>
      </c>
      <c r="G42" s="10" t="b">
        <v>1</v>
      </c>
      <c r="H42" s="10">
        <v>0</v>
      </c>
      <c r="I42" s="10" t="s">
        <v>14</v>
      </c>
      <c r="J42" s="10">
        <v>656.56240000000071</v>
      </c>
      <c r="K42" s="4"/>
      <c r="L42" s="4"/>
      <c r="M42" s="11">
        <f t="shared" si="14"/>
        <v>0</v>
      </c>
      <c r="N42" s="11" t="str">
        <f t="shared" si="15"/>
        <v/>
      </c>
      <c r="O42" s="11" t="str">
        <f>IF(B42="CLOTHOID",IF(I42=TRUE,-clothoidx(H42,M42-J42),clothoidx(H42,M42)),"")</f>
        <v/>
      </c>
      <c r="P42" s="11" t="str">
        <f>IF(B42="CLOTHOID",IF(I42=TRUE,clothoidy(H42,M42-J42),clothoidy(H42,M42))*IF(G42=TRUE,-1,1),"")</f>
        <v/>
      </c>
      <c r="Q42" s="11" t="str">
        <f t="shared" si="16"/>
        <v/>
      </c>
      <c r="R42" s="11" t="str">
        <f t="shared" si="17"/>
        <v/>
      </c>
      <c r="S42" s="11" t="str">
        <f>IF(B42="CLOTHOID",IF(I42=TRUE,clothoidx(H42,M42),-clothoidx(H42,M42-J42)),"")</f>
        <v/>
      </c>
      <c r="T42" s="11" t="str">
        <f>IF(B42="CLOTHOID",IF(I42=TRUE,clothoidy(H42,M42),clothoidy(H42,M42-J42))*IF(G42=TRUE,1,-1),"")</f>
        <v/>
      </c>
      <c r="V42" s="9">
        <f t="shared" si="18"/>
        <v>4000</v>
      </c>
      <c r="W42" s="9">
        <f t="shared" si="19"/>
        <v>0.16414060000000016</v>
      </c>
      <c r="X42" s="9">
        <f t="shared" si="20"/>
        <v>-3.0956310732051038</v>
      </c>
      <c r="Y42" s="9">
        <f t="shared" si="21"/>
        <v>63930.700900813536</v>
      </c>
      <c r="Z42" s="9">
        <f t="shared" si="22"/>
        <v>629203.81137694337</v>
      </c>
      <c r="AB42" s="21">
        <f t="shared" si="23"/>
        <v>-2.9304733889148338E-3</v>
      </c>
      <c r="AC42" s="22">
        <f t="shared" si="24"/>
        <v>4.1049362842215942E-7</v>
      </c>
      <c r="AD42" s="22">
        <f t="shared" si="25"/>
        <v>8.1902180681936443E-6</v>
      </c>
      <c r="AE42" s="23">
        <f t="shared" si="26"/>
        <v>4.3077161535620689E-5</v>
      </c>
    </row>
    <row r="43" spans="1:31" x14ac:dyDescent="0.2">
      <c r="A43">
        <f t="shared" si="13"/>
        <v>12195.4074</v>
      </c>
      <c r="B43" s="10" t="s">
        <v>22</v>
      </c>
      <c r="C43" s="10">
        <v>63930.700900000003</v>
      </c>
      <c r="D43" s="10">
        <v>629203.81129999994</v>
      </c>
      <c r="E43" s="10">
        <v>-3.0956306732051031</v>
      </c>
      <c r="F43" s="10">
        <v>3500</v>
      </c>
      <c r="G43" s="10" t="b">
        <v>1</v>
      </c>
      <c r="H43" s="10">
        <v>0</v>
      </c>
      <c r="I43" s="10" t="s">
        <v>14</v>
      </c>
      <c r="J43" s="10">
        <v>103.88589999999931</v>
      </c>
      <c r="K43" s="4"/>
      <c r="L43" s="4"/>
      <c r="M43" s="11">
        <f t="shared" si="14"/>
        <v>0</v>
      </c>
      <c r="N43" s="11" t="str">
        <f t="shared" si="15"/>
        <v/>
      </c>
      <c r="O43" s="11" t="str">
        <f>IF(B43="CLOTHOID",IF(I43=TRUE,-clothoidx(H43,M43-J43),clothoidx(H43,M43)),"")</f>
        <v/>
      </c>
      <c r="P43" s="11" t="str">
        <f>IF(B43="CLOTHOID",IF(I43=TRUE,clothoidy(H43,M43-J43),clothoidy(H43,M43))*IF(G43=TRUE,-1,1),"")</f>
        <v/>
      </c>
      <c r="Q43" s="11" t="str">
        <f t="shared" si="16"/>
        <v/>
      </c>
      <c r="R43" s="11" t="str">
        <f t="shared" si="17"/>
        <v/>
      </c>
      <c r="S43" s="11" t="str">
        <f>IF(B43="CLOTHOID",IF(I43=TRUE,clothoidx(H43,M43),-clothoidx(H43,M43-J43)),"")</f>
        <v/>
      </c>
      <c r="T43" s="11" t="str">
        <f>IF(B43="CLOTHOID",IF(I43=TRUE,clothoidy(H43,M43),clothoidy(H43,M43-J43))*IF(G43=TRUE,1,-1),"")</f>
        <v/>
      </c>
      <c r="V43" s="9">
        <f t="shared" si="18"/>
        <v>3500</v>
      </c>
      <c r="W43" s="9">
        <f t="shared" si="19"/>
        <v>2.9681685714285519E-2</v>
      </c>
      <c r="X43" s="9">
        <f t="shared" si="20"/>
        <v>-3.0659489874908177</v>
      </c>
      <c r="Y43" s="9">
        <f t="shared" si="21"/>
        <v>63827.010779465047</v>
      </c>
      <c r="Z43" s="9">
        <f t="shared" si="22"/>
        <v>629197.49886702478</v>
      </c>
      <c r="AB43" s="21">
        <f t="shared" si="23"/>
        <v>-500</v>
      </c>
      <c r="AC43" s="22">
        <f t="shared" si="24"/>
        <v>4.0000000067763608E-7</v>
      </c>
      <c r="AD43" s="22">
        <f t="shared" si="25"/>
        <v>-8.1353209679946303E-7</v>
      </c>
      <c r="AE43" s="23">
        <f t="shared" si="26"/>
        <v>-7.6943426392972469E-5</v>
      </c>
    </row>
    <row r="44" spans="1:31" x14ac:dyDescent="0.2">
      <c r="A44">
        <f t="shared" si="13"/>
        <v>12299.293299999999</v>
      </c>
      <c r="B44" s="10" t="s">
        <v>21</v>
      </c>
      <c r="C44" s="10">
        <v>63827.010800000004</v>
      </c>
      <c r="D44" s="10">
        <v>629197.49890000001</v>
      </c>
      <c r="E44" s="10">
        <v>-3.065949673205103</v>
      </c>
      <c r="F44" s="10">
        <v>3500</v>
      </c>
      <c r="G44" s="10" t="b">
        <v>1</v>
      </c>
      <c r="H44" s="10">
        <v>349.85711369071805</v>
      </c>
      <c r="I44" s="10" t="b">
        <v>1</v>
      </c>
      <c r="J44" s="10">
        <v>37.028600000001461</v>
      </c>
      <c r="K44" s="4"/>
      <c r="L44" s="4"/>
      <c r="M44" s="11">
        <f t="shared" si="14"/>
        <v>72.000028571430036</v>
      </c>
      <c r="N44" s="11">
        <f t="shared" si="15"/>
        <v>-3.0709455915724502</v>
      </c>
      <c r="O44" s="11">
        <f>IF(B44="CLOTHOID",IF(I44=TRUE,-clothoidx(H44,M44-J44),clothoidx(H44,M44)),"")</f>
        <v>-34.97134128553941</v>
      </c>
      <c r="P44" s="11">
        <f>IF(B44="CLOTHOID",IF(I44=TRUE,clothoidy(H44,M44-J44),clothoidy(H44,M44))*IF(G44=TRUE,-1,1),"")</f>
        <v>-5.8238030283840309E-2</v>
      </c>
      <c r="Q44" s="11">
        <f t="shared" si="16"/>
        <v>63861.890795541854</v>
      </c>
      <c r="R44" s="11">
        <f t="shared" si="17"/>
        <v>629200.0255606377</v>
      </c>
      <c r="S44" s="11">
        <f>IF(B44="CLOTHOID",IF(I44=TRUE,clothoidx(H44,M44),-clothoidx(H44,M44-J44)),"")</f>
        <v>71.99679984313029</v>
      </c>
      <c r="T44" s="11">
        <f>IF(B44="CLOTHOID",IF(I44=TRUE,clothoidy(H44,M44),clothoidy(H44,M44-J44))*IF(G44=TRUE,1,-1),"")</f>
        <v>0.50821961973896568</v>
      </c>
      <c r="V44" s="9">
        <f t="shared" si="18"/>
        <v>1699.9993253970588</v>
      </c>
      <c r="W44" s="9">
        <f t="shared" si="19"/>
        <v>1.6180569027615239E-2</v>
      </c>
      <c r="X44" s="9">
        <f t="shared" si="20"/>
        <v>-3.0497691041774879</v>
      </c>
      <c r="Y44" s="9">
        <f t="shared" si="21"/>
        <v>63790.109463627465</v>
      </c>
      <c r="Z44" s="9">
        <f t="shared" si="22"/>
        <v>629194.43647632725</v>
      </c>
      <c r="AB44" s="21">
        <f t="shared" si="23"/>
        <v>0</v>
      </c>
      <c r="AC44" s="22">
        <f t="shared" si="24"/>
        <v>-6.8571428535335599E-7</v>
      </c>
      <c r="AD44" s="22">
        <f t="shared" si="25"/>
        <v>2.0534957002382725E-5</v>
      </c>
      <c r="AE44" s="23">
        <f t="shared" si="26"/>
        <v>3.2975221984088421E-5</v>
      </c>
    </row>
    <row r="45" spans="1:31" x14ac:dyDescent="0.2">
      <c r="A45">
        <f t="shared" si="13"/>
        <v>12336.321900000001</v>
      </c>
      <c r="B45" s="10" t="s">
        <v>22</v>
      </c>
      <c r="C45" s="10">
        <v>63790.109499999999</v>
      </c>
      <c r="D45" s="10">
        <v>629194.43649999995</v>
      </c>
      <c r="E45" s="10">
        <v>-3.0497686732051035</v>
      </c>
      <c r="F45" s="10">
        <v>1700</v>
      </c>
      <c r="G45" s="10" t="b">
        <v>1</v>
      </c>
      <c r="H45" s="10">
        <v>0</v>
      </c>
      <c r="I45" s="10" t="s">
        <v>14</v>
      </c>
      <c r="J45" s="10">
        <v>665.50119999999879</v>
      </c>
      <c r="K45" s="4"/>
      <c r="L45" s="4"/>
      <c r="M45" s="11">
        <f t="shared" si="14"/>
        <v>0</v>
      </c>
      <c r="N45" s="11" t="str">
        <f t="shared" si="15"/>
        <v/>
      </c>
      <c r="O45" s="11" t="str">
        <f>IF(B45="CLOTHOID",IF(I45=TRUE,-clothoidx(H45,M45-J45),clothoidx(H45,M45)),"")</f>
        <v/>
      </c>
      <c r="P45" s="11" t="str">
        <f>IF(B45="CLOTHOID",IF(I45=TRUE,clothoidy(H45,M45-J45),clothoidy(H45,M45))*IF(G45=TRUE,-1,1),"")</f>
        <v/>
      </c>
      <c r="Q45" s="11" t="str">
        <f t="shared" si="16"/>
        <v/>
      </c>
      <c r="R45" s="11" t="str">
        <f t="shared" si="17"/>
        <v/>
      </c>
      <c r="S45" s="11" t="str">
        <f>IF(B45="CLOTHOID",IF(I45=TRUE,clothoidx(H45,M45),-clothoidx(H45,M45-J45)),"")</f>
        <v/>
      </c>
      <c r="T45" s="11" t="str">
        <f>IF(B45="CLOTHOID",IF(I45=TRUE,clothoidy(H45,M45),clothoidy(H45,M45-J45))*IF(G45=TRUE,1,-1),"")</f>
        <v/>
      </c>
      <c r="V45" s="9">
        <f t="shared" si="18"/>
        <v>1700</v>
      </c>
      <c r="W45" s="9">
        <f t="shared" si="19"/>
        <v>0.39147129411764636</v>
      </c>
      <c r="X45" s="9">
        <f t="shared" si="20"/>
        <v>-2.6582973790874571</v>
      </c>
      <c r="Y45" s="9">
        <f t="shared" si="21"/>
        <v>63156.001751597694</v>
      </c>
      <c r="Z45" s="9">
        <f t="shared" si="22"/>
        <v>629006.89467745612</v>
      </c>
      <c r="AB45" s="21">
        <f t="shared" si="23"/>
        <v>6.7460294121701736E-4</v>
      </c>
      <c r="AC45" s="22">
        <f t="shared" si="24"/>
        <v>4.3097238444644859E-7</v>
      </c>
      <c r="AD45" s="22">
        <f t="shared" si="25"/>
        <v>3.6372533941175789E-5</v>
      </c>
      <c r="AE45" s="23">
        <f t="shared" si="26"/>
        <v>2.3672706447541714E-5</v>
      </c>
    </row>
    <row r="46" spans="1:31" x14ac:dyDescent="0.2">
      <c r="A46">
        <f t="shared" si="13"/>
        <v>13001.8231</v>
      </c>
      <c r="B46" s="10" t="s">
        <v>21</v>
      </c>
      <c r="C46" s="10">
        <v>63156.001700000001</v>
      </c>
      <c r="D46" s="10">
        <v>629006.89480000001</v>
      </c>
      <c r="E46" s="10">
        <v>-2.6582976732051034</v>
      </c>
      <c r="F46" s="10">
        <v>1700</v>
      </c>
      <c r="G46" s="10" t="b">
        <v>1</v>
      </c>
      <c r="H46" s="10">
        <v>344.96376621320678</v>
      </c>
      <c r="I46" s="10" t="b">
        <v>0</v>
      </c>
      <c r="J46" s="10">
        <v>2</v>
      </c>
      <c r="K46" s="4"/>
      <c r="L46" s="4"/>
      <c r="M46" s="11">
        <f t="shared" si="14"/>
        <v>69.999999999999986</v>
      </c>
      <c r="N46" s="11">
        <f t="shared" si="15"/>
        <v>-2.6377094379109858</v>
      </c>
      <c r="O46" s="11">
        <f>IF(B46="CLOTHOID",IF(I46=TRUE,-clothoidx(H46,M46-J46),clothoidx(H46,M46)),"")</f>
        <v>69.997032930198827</v>
      </c>
      <c r="P46" s="11">
        <f>IF(B46="CLOTHOID",IF(I46=TRUE,clothoidy(H46,M46-J46),clothoidy(H46,M46))*IF(G46=TRUE,-1,1),"")</f>
        <v>-0.48037761231367526</v>
      </c>
      <c r="Q46" s="11">
        <f t="shared" si="16"/>
        <v>63094.472361101012</v>
      </c>
      <c r="R46" s="11">
        <f t="shared" si="17"/>
        <v>628973.51882306545</v>
      </c>
      <c r="S46" s="11">
        <f>IF(B46="CLOTHOID",IF(I46=TRUE,clothoidx(H46,M46),-clothoidx(H46,M46-J46)),"")</f>
        <v>-67.997433253019054</v>
      </c>
      <c r="T46" s="11">
        <f>IF(B46="CLOTHOID",IF(I46=TRUE,clothoidy(H46,M46),clothoidy(H46,M46-J46))*IF(G46=TRUE,1,-1),"")</f>
        <v>0.44036907892866761</v>
      </c>
      <c r="V46" s="9">
        <f t="shared" si="18"/>
        <v>1750.0000000000002</v>
      </c>
      <c r="W46" s="9">
        <f t="shared" si="19"/>
        <v>1.1596638655462185E-3</v>
      </c>
      <c r="X46" s="9">
        <f t="shared" si="20"/>
        <v>-2.6571380093395573</v>
      </c>
      <c r="Y46" s="9">
        <f t="shared" si="21"/>
        <v>63154.231304783687</v>
      </c>
      <c r="Z46" s="9">
        <f t="shared" si="22"/>
        <v>629005.96436981461</v>
      </c>
      <c r="AB46" s="21">
        <f t="shared" si="23"/>
        <v>0</v>
      </c>
      <c r="AC46" s="22">
        <f t="shared" si="24"/>
        <v>-2.9411764623787917E-7</v>
      </c>
      <c r="AD46" s="22">
        <f t="shared" si="25"/>
        <v>-5.1597693527583033E-5</v>
      </c>
      <c r="AE46" s="23">
        <f t="shared" si="26"/>
        <v>1.2254389002919197E-4</v>
      </c>
    </row>
    <row r="47" spans="1:31" x14ac:dyDescent="0.2">
      <c r="A47">
        <f t="shared" si="13"/>
        <v>13003.8231</v>
      </c>
      <c r="B47" s="10" t="s">
        <v>22</v>
      </c>
      <c r="C47" s="10">
        <v>63154.231299999999</v>
      </c>
      <c r="D47" s="10">
        <v>629005.96429999999</v>
      </c>
      <c r="E47" s="10">
        <v>-2.6571376732051037</v>
      </c>
      <c r="F47" s="10">
        <v>1750</v>
      </c>
      <c r="G47" s="10" t="b">
        <v>1</v>
      </c>
      <c r="H47" s="10">
        <v>0</v>
      </c>
      <c r="I47" s="10" t="s">
        <v>14</v>
      </c>
      <c r="J47" s="10">
        <v>242.03970000000118</v>
      </c>
      <c r="K47" s="4"/>
      <c r="L47" s="4"/>
      <c r="M47" s="11">
        <f t="shared" si="14"/>
        <v>0</v>
      </c>
      <c r="N47" s="11" t="str">
        <f t="shared" si="15"/>
        <v/>
      </c>
      <c r="O47" s="11" t="str">
        <f>IF(B47="CLOTHOID",IF(I47=TRUE,-clothoidx(H47,M47-J47),clothoidx(H47,M47)),"")</f>
        <v/>
      </c>
      <c r="P47" s="11" t="str">
        <f>IF(B47="CLOTHOID",IF(I47=TRUE,clothoidy(H47,M47-J47),clothoidy(H47,M47))*IF(G47=TRUE,-1,1),"")</f>
        <v/>
      </c>
      <c r="Q47" s="11" t="str">
        <f t="shared" si="16"/>
        <v/>
      </c>
      <c r="R47" s="11" t="str">
        <f t="shared" si="17"/>
        <v/>
      </c>
      <c r="S47" s="11" t="str">
        <f>IF(B47="CLOTHOID",IF(I47=TRUE,clothoidx(H47,M47),-clothoidx(H47,M47-J47)),"")</f>
        <v/>
      </c>
      <c r="T47" s="11" t="str">
        <f>IF(B47="CLOTHOID",IF(I47=TRUE,clothoidy(H47,M47),clothoidy(H47,M47-J47))*IF(G47=TRUE,1,-1),"")</f>
        <v/>
      </c>
      <c r="V47" s="9">
        <f t="shared" si="18"/>
        <v>1750</v>
      </c>
      <c r="W47" s="9">
        <f t="shared" si="19"/>
        <v>0.13830840000000066</v>
      </c>
      <c r="X47" s="9">
        <f t="shared" si="20"/>
        <v>-2.5188292732051032</v>
      </c>
      <c r="Y47" s="9">
        <f t="shared" si="21"/>
        <v>62948.508527607431</v>
      </c>
      <c r="Z47" s="9">
        <f t="shared" si="22"/>
        <v>628878.8107343741</v>
      </c>
      <c r="AB47" s="21">
        <f t="shared" si="23"/>
        <v>0</v>
      </c>
      <c r="AC47" s="22">
        <f t="shared" si="24"/>
        <v>3.3613445360458627E-7</v>
      </c>
      <c r="AD47" s="22">
        <f t="shared" si="25"/>
        <v>-4.7836874728091061E-6</v>
      </c>
      <c r="AE47" s="23">
        <f t="shared" si="26"/>
        <v>-6.9814617745578289E-5</v>
      </c>
    </row>
    <row r="48" spans="1:31" x14ac:dyDescent="0.2">
      <c r="A48">
        <f t="shared" si="13"/>
        <v>13245.862800000001</v>
      </c>
      <c r="B48" s="10" t="s">
        <v>21</v>
      </c>
      <c r="C48" s="10">
        <v>62948.508499999996</v>
      </c>
      <c r="D48" s="10">
        <v>628878.81079999998</v>
      </c>
      <c r="E48" s="10">
        <v>-2.5188296732051034</v>
      </c>
      <c r="F48" s="10">
        <v>1750</v>
      </c>
      <c r="G48" s="10" t="b">
        <v>1</v>
      </c>
      <c r="H48" s="10">
        <v>340.71270889122991</v>
      </c>
      <c r="I48" s="10" t="b">
        <v>1</v>
      </c>
      <c r="J48" s="10">
        <v>6.2188999999998487</v>
      </c>
      <c r="K48" s="4"/>
      <c r="L48" s="4"/>
      <c r="M48" s="11">
        <f t="shared" si="14"/>
        <v>72.553271428571264</v>
      </c>
      <c r="N48" s="11">
        <f t="shared" si="15"/>
        <v>-2.5377823507561237</v>
      </c>
      <c r="O48" s="11">
        <f>IF(B48="CLOTHOID",IF(I48=TRUE,-clothoidx(H48,M48-J48),clothoidx(H48,M48)),"")</f>
        <v>-66.331988711131288</v>
      </c>
      <c r="P48" s="11">
        <f>IF(B48="CLOTHOID",IF(I48=TRUE,clothoidy(H48,M48-J48),clothoidy(H48,M48))*IF(G48=TRUE,-1,1),"")</f>
        <v>-0.4190605652426842</v>
      </c>
      <c r="Q48" s="11">
        <f t="shared" si="16"/>
        <v>63002.873609555558</v>
      </c>
      <c r="R48" s="11">
        <f t="shared" si="17"/>
        <v>628916.81794671144</v>
      </c>
      <c r="S48" s="11">
        <f>IF(B48="CLOTHOID",IF(I48=TRUE,clothoidx(H48,M48),-clothoidx(H48,M48-J48)),"")</f>
        <v>72.549541836467014</v>
      </c>
      <c r="T48" s="11">
        <f>IF(B48="CLOTHOID",IF(I48=TRUE,clothoidy(H48,M48),clothoidy(H48,M48-J48))*IF(G48=TRUE,1,-1),"")</f>
        <v>0.54831122228214568</v>
      </c>
      <c r="V48" s="9">
        <f t="shared" si="18"/>
        <v>1599.9988382920249</v>
      </c>
      <c r="W48" s="9">
        <f t="shared" si="19"/>
        <v>3.7202362324735925E-3</v>
      </c>
      <c r="X48" s="9">
        <f t="shared" si="20"/>
        <v>-2.5151094369726299</v>
      </c>
      <c r="Y48" s="9">
        <f t="shared" si="21"/>
        <v>62943.463732340853</v>
      </c>
      <c r="Z48" s="9">
        <f t="shared" si="22"/>
        <v>628875.17418180942</v>
      </c>
      <c r="AB48" s="21">
        <f t="shared" si="23"/>
        <v>0</v>
      </c>
      <c r="AC48" s="22">
        <f t="shared" si="24"/>
        <v>-4.0000000023354687E-7</v>
      </c>
      <c r="AD48" s="22">
        <f t="shared" si="25"/>
        <v>-2.7607435185927898E-5</v>
      </c>
      <c r="AE48" s="23">
        <f t="shared" si="26"/>
        <v>6.5625878050923347E-5</v>
      </c>
    </row>
    <row r="49" spans="1:31" x14ac:dyDescent="0.2">
      <c r="A49">
        <f t="shared" si="13"/>
        <v>13252.081700000001</v>
      </c>
      <c r="B49" s="10" t="s">
        <v>22</v>
      </c>
      <c r="C49" s="10">
        <v>62943.463799999998</v>
      </c>
      <c r="D49" s="10">
        <v>628875.17420000001</v>
      </c>
      <c r="E49" s="10">
        <v>-2.515109673205103</v>
      </c>
      <c r="F49" s="10">
        <v>1600</v>
      </c>
      <c r="G49" s="10" t="b">
        <v>1</v>
      </c>
      <c r="H49" s="10">
        <v>0</v>
      </c>
      <c r="I49" s="10" t="s">
        <v>14</v>
      </c>
      <c r="J49" s="10">
        <v>150.15529999999853</v>
      </c>
      <c r="K49" s="4"/>
      <c r="L49" s="4"/>
      <c r="M49" s="11">
        <f t="shared" si="14"/>
        <v>0</v>
      </c>
      <c r="N49" s="11" t="str">
        <f t="shared" si="15"/>
        <v/>
      </c>
      <c r="O49" s="11" t="str">
        <f>IF(B49="CLOTHOID",IF(I49=TRUE,-clothoidx(H49,M49-J49),clothoidx(H49,M49)),"")</f>
        <v/>
      </c>
      <c r="P49" s="11" t="str">
        <f>IF(B49="CLOTHOID",IF(I49=TRUE,clothoidy(H49,M49-J49),clothoidy(H49,M49))*IF(G49=TRUE,-1,1),"")</f>
        <v/>
      </c>
      <c r="Q49" s="11" t="str">
        <f t="shared" si="16"/>
        <v/>
      </c>
      <c r="R49" s="11" t="str">
        <f t="shared" si="17"/>
        <v/>
      </c>
      <c r="S49" s="11" t="str">
        <f>IF(B49="CLOTHOID",IF(I49=TRUE,clothoidx(H49,M49),-clothoidx(H49,M49-J49)),"")</f>
        <v/>
      </c>
      <c r="T49" s="11" t="str">
        <f>IF(B49="CLOTHOID",IF(I49=TRUE,clothoidy(H49,M49),clothoidy(H49,M49-J49))*IF(G49=TRUE,1,-1),"")</f>
        <v/>
      </c>
      <c r="V49" s="9">
        <f t="shared" si="18"/>
        <v>1600</v>
      </c>
      <c r="W49" s="9">
        <f t="shared" si="19"/>
        <v>9.3847062499999079E-2</v>
      </c>
      <c r="X49" s="9">
        <f t="shared" si="20"/>
        <v>-2.4212626107051038</v>
      </c>
      <c r="Y49" s="9">
        <f t="shared" si="21"/>
        <v>62826.130211729607</v>
      </c>
      <c r="Z49" s="9">
        <f t="shared" si="22"/>
        <v>628781.56383629143</v>
      </c>
      <c r="AB49" s="21">
        <f t="shared" si="23"/>
        <v>1.1617079751431447E-3</v>
      </c>
      <c r="AC49" s="22">
        <f t="shared" si="24"/>
        <v>-2.3623247313864226E-7</v>
      </c>
      <c r="AD49" s="22">
        <f t="shared" si="25"/>
        <v>6.7659144406206906E-5</v>
      </c>
      <c r="AE49" s="23">
        <f t="shared" si="26"/>
        <v>1.8190592527389526E-5</v>
      </c>
    </row>
    <row r="50" spans="1:31" x14ac:dyDescent="0.2">
      <c r="A50">
        <f t="shared" si="13"/>
        <v>13402.236999999999</v>
      </c>
      <c r="B50" s="10" t="s">
        <v>21</v>
      </c>
      <c r="C50" s="10">
        <v>62826.1302</v>
      </c>
      <c r="D50" s="10">
        <v>628781.56370000006</v>
      </c>
      <c r="E50" s="10">
        <v>-2.4212616732051035</v>
      </c>
      <c r="F50" s="10">
        <v>1600</v>
      </c>
      <c r="G50" s="10" t="b">
        <v>1</v>
      </c>
      <c r="H50" s="10">
        <v>351.19794988012103</v>
      </c>
      <c r="I50" s="10" t="b">
        <v>0</v>
      </c>
      <c r="J50" s="10">
        <v>15.417500000001382</v>
      </c>
      <c r="K50" s="4"/>
      <c r="L50" s="4"/>
      <c r="M50" s="11">
        <f t="shared" si="14"/>
        <v>77.087500000000006</v>
      </c>
      <c r="N50" s="11">
        <f t="shared" si="15"/>
        <v>-2.3971718294551034</v>
      </c>
      <c r="O50" s="11">
        <f>IF(B50="CLOTHOID",IF(I50=TRUE,-clothoidx(H50,M50-J50),clothoidx(H50,M50)),"")</f>
        <v>77.083026573980774</v>
      </c>
      <c r="P50" s="11">
        <f>IF(B50="CLOTHOID",IF(I50=TRUE,clothoidy(H50,M50-J50),clothoidy(H50,M50))*IF(G50=TRUE,-1,1),"")</f>
        <v>-0.61898295168335526</v>
      </c>
      <c r="Q50" s="11">
        <f t="shared" si="16"/>
        <v>62769.017751999127</v>
      </c>
      <c r="R50" s="11">
        <f t="shared" si="17"/>
        <v>628729.79165726411</v>
      </c>
      <c r="S50" s="11">
        <f>IF(B50="CLOTHOID",IF(I50=TRUE,clothoidx(H50,M50),-clothoidx(H50,M50-J50)),"")</f>
        <v>-61.668534124508525</v>
      </c>
      <c r="T50" s="11">
        <f>IF(B50="CLOTHOID",IF(I50=TRUE,clothoidy(H50,M50),clothoidy(H50,M50-J50))*IF(G50=TRUE,1,-1),"")</f>
        <v>0.31692702733018197</v>
      </c>
      <c r="V50" s="9">
        <f t="shared" si="18"/>
        <v>2000.0000000000446</v>
      </c>
      <c r="W50" s="9">
        <f t="shared" si="19"/>
        <v>8.6723437500006925E-3</v>
      </c>
      <c r="X50" s="9">
        <f t="shared" si="20"/>
        <v>-2.4125893294551028</v>
      </c>
      <c r="Y50" s="9">
        <f t="shared" si="21"/>
        <v>62814.588485480854</v>
      </c>
      <c r="Z50" s="9">
        <f t="shared" si="22"/>
        <v>628771.34182927036</v>
      </c>
      <c r="AB50" s="21">
        <f t="shared" si="23"/>
        <v>0</v>
      </c>
      <c r="AC50" s="22">
        <f t="shared" si="24"/>
        <v>9.375000002975753E-7</v>
      </c>
      <c r="AD50" s="22">
        <f t="shared" si="25"/>
        <v>-1.1729607649613172E-5</v>
      </c>
      <c r="AE50" s="23">
        <f t="shared" si="26"/>
        <v>-1.362913753837347E-4</v>
      </c>
    </row>
    <row r="51" spans="1:31" x14ac:dyDescent="0.2">
      <c r="A51">
        <f t="shared" si="13"/>
        <v>13417.654500000001</v>
      </c>
      <c r="B51" s="10" t="s">
        <v>22</v>
      </c>
      <c r="C51" s="10">
        <v>62814.588400000001</v>
      </c>
      <c r="D51" s="10">
        <v>628771.3419</v>
      </c>
      <c r="E51" s="10">
        <v>-2.4125896732051033</v>
      </c>
      <c r="F51" s="10">
        <v>2000</v>
      </c>
      <c r="G51" s="10" t="b">
        <v>1</v>
      </c>
      <c r="H51" s="10">
        <v>0</v>
      </c>
      <c r="I51" s="10" t="s">
        <v>14</v>
      </c>
      <c r="J51" s="10">
        <v>183.62099999999919</v>
      </c>
      <c r="K51" s="4"/>
      <c r="L51" s="4"/>
      <c r="M51" s="11">
        <f t="shared" si="14"/>
        <v>0</v>
      </c>
      <c r="N51" s="11" t="str">
        <f t="shared" si="15"/>
        <v/>
      </c>
      <c r="O51" s="11" t="str">
        <f>IF(B51="CLOTHOID",IF(I51=TRUE,-clothoidx(H51,M51-J51),clothoidx(H51,M51)),"")</f>
        <v/>
      </c>
      <c r="P51" s="11" t="str">
        <f>IF(B51="CLOTHOID",IF(I51=TRUE,clothoidy(H51,M51-J51),clothoidy(H51,M51))*IF(G51=TRUE,-1,1),"")</f>
        <v/>
      </c>
      <c r="Q51" s="11" t="str">
        <f t="shared" si="16"/>
        <v/>
      </c>
      <c r="R51" s="11" t="str">
        <f t="shared" si="17"/>
        <v/>
      </c>
      <c r="S51" s="11" t="str">
        <f>IF(B51="CLOTHOID",IF(I51=TRUE,clothoidx(H51,M51),-clothoidx(H51,M51-J51)),"")</f>
        <v/>
      </c>
      <c r="T51" s="11" t="str">
        <f>IF(B51="CLOTHOID",IF(I51=TRUE,clothoidy(H51,M51),clothoidy(H51,M51-J51))*IF(G51=TRUE,1,-1),"")</f>
        <v/>
      </c>
      <c r="V51" s="9">
        <f t="shared" si="18"/>
        <v>2000</v>
      </c>
      <c r="W51" s="9">
        <f t="shared" si="19"/>
        <v>9.1810499999999587E-2</v>
      </c>
      <c r="X51" s="9">
        <f t="shared" si="20"/>
        <v>-2.3207791732051035</v>
      </c>
      <c r="Y51" s="9">
        <f t="shared" si="21"/>
        <v>62683.439977725502</v>
      </c>
      <c r="Z51" s="9">
        <f t="shared" si="22"/>
        <v>628642.91648972046</v>
      </c>
      <c r="AB51" s="21">
        <f t="shared" si="23"/>
        <v>-4.4565240386873484E-11</v>
      </c>
      <c r="AC51" s="22">
        <f t="shared" si="24"/>
        <v>-3.4375000046438231E-7</v>
      </c>
      <c r="AD51" s="22">
        <f t="shared" si="25"/>
        <v>-8.5480853158514947E-5</v>
      </c>
      <c r="AE51" s="23">
        <f t="shared" si="26"/>
        <v>7.0729642175137997E-5</v>
      </c>
    </row>
    <row r="52" spans="1:31" x14ac:dyDescent="0.2">
      <c r="A52">
        <f t="shared" si="13"/>
        <v>13601.2755</v>
      </c>
      <c r="B52" s="10" t="s">
        <v>21</v>
      </c>
      <c r="C52" s="10">
        <v>62683.4401</v>
      </c>
      <c r="D52" s="10">
        <v>628642.91650000005</v>
      </c>
      <c r="E52" s="10">
        <v>-2.3207796732051036</v>
      </c>
      <c r="F52" s="10">
        <v>2000</v>
      </c>
      <c r="G52" s="10" t="b">
        <v>1</v>
      </c>
      <c r="H52" s="10">
        <v>351.19794988012103</v>
      </c>
      <c r="I52" s="10" t="b">
        <v>0</v>
      </c>
      <c r="J52" s="10">
        <v>61.670000000000073</v>
      </c>
      <c r="K52" s="4"/>
      <c r="L52" s="4"/>
      <c r="M52" s="11">
        <f t="shared" si="14"/>
        <v>61.67</v>
      </c>
      <c r="N52" s="11">
        <f t="shared" si="15"/>
        <v>-2.3053621732051037</v>
      </c>
      <c r="O52" s="11">
        <f>IF(B52="CLOTHOID",IF(I52=TRUE,-clothoidx(H52,M52-J52),clothoidx(H52,M52)),"")</f>
        <v>61.668534124509904</v>
      </c>
      <c r="P52" s="11">
        <f>IF(B52="CLOTHOID",IF(I52=TRUE,clothoidy(H52,M52-J52),clothoidy(H52,M52))*IF(G52=TRUE,-1,1),"")</f>
        <v>-0.31692702733020323</v>
      </c>
      <c r="Q52" s="11">
        <f t="shared" si="16"/>
        <v>62641.87064003446</v>
      </c>
      <c r="R52" s="11">
        <f t="shared" si="17"/>
        <v>628597.36336024024</v>
      </c>
      <c r="S52" s="11">
        <f>IF(B52="CLOTHOID",IF(I52=TRUE,clothoidx(H52,M52),-clothoidx(H52,M52-J52)),"")</f>
        <v>7.1054273576010019E-14</v>
      </c>
      <c r="T52" s="11">
        <f>IF(B52="CLOTHOID",IF(I52=TRUE,clothoidy(H52,M52),clothoidy(H52,M52-J52))*IF(G52=TRUE,1,-1),"")</f>
        <v>-4.8474732023559967E-46</v>
      </c>
      <c r="V52" s="9">
        <f t="shared" si="18"/>
        <v>0</v>
      </c>
      <c r="W52" s="9">
        <f t="shared" si="19"/>
        <v>1.5417500000000001E-2</v>
      </c>
      <c r="X52" s="9">
        <f t="shared" si="20"/>
        <v>-2.3053621732051037</v>
      </c>
      <c r="Y52" s="9">
        <f t="shared" si="21"/>
        <v>62641.87064003446</v>
      </c>
      <c r="Z52" s="9">
        <f t="shared" si="22"/>
        <v>628597.36336024024</v>
      </c>
      <c r="AB52" s="21">
        <f t="shared" si="23"/>
        <v>0</v>
      </c>
      <c r="AC52" s="22">
        <f t="shared" si="24"/>
        <v>-5.0000000006988898E-7</v>
      </c>
      <c r="AD52" s="22">
        <f t="shared" si="25"/>
        <v>1.2227449769852683E-4</v>
      </c>
      <c r="AE52" s="23">
        <f t="shared" si="26"/>
        <v>1.0279589332640171E-5</v>
      </c>
    </row>
    <row r="53" spans="1:31" x14ac:dyDescent="0.2">
      <c r="A53">
        <f t="shared" si="13"/>
        <v>13662.9455</v>
      </c>
      <c r="B53" s="10" t="s">
        <v>20</v>
      </c>
      <c r="C53" s="10">
        <v>62641.870600000002</v>
      </c>
      <c r="D53" s="10">
        <v>628597.36340000003</v>
      </c>
      <c r="E53" s="10">
        <v>-2.3053616732051037</v>
      </c>
      <c r="F53" s="10">
        <v>0</v>
      </c>
      <c r="G53" s="10" t="b">
        <v>0</v>
      </c>
      <c r="H53" s="10">
        <v>0</v>
      </c>
      <c r="I53" s="10" t="s">
        <v>14</v>
      </c>
      <c r="J53" s="10">
        <v>98.380600000000413</v>
      </c>
      <c r="K53" s="4"/>
      <c r="L53" s="4"/>
      <c r="M53" s="11">
        <f t="shared" si="14"/>
        <v>0</v>
      </c>
      <c r="N53" s="11" t="str">
        <f t="shared" si="15"/>
        <v/>
      </c>
      <c r="O53" s="11" t="str">
        <f>IF(B53="CLOTHOID",IF(I53=TRUE,-clothoidx(H53,M53-J53),clothoidx(H53,M53)),"")</f>
        <v/>
      </c>
      <c r="P53" s="11" t="str">
        <f>IF(B53="CLOTHOID",IF(I53=TRUE,clothoidy(H53,M53-J53),clothoidy(H53,M53))*IF(G53=TRUE,-1,1),"")</f>
        <v/>
      </c>
      <c r="Q53" s="11" t="str">
        <f t="shared" si="16"/>
        <v/>
      </c>
      <c r="R53" s="11" t="str">
        <f t="shared" si="17"/>
        <v/>
      </c>
      <c r="S53" s="11" t="str">
        <f>IF(B53="CLOTHOID",IF(I53=TRUE,clothoidx(H53,M53),-clothoidx(H53,M53-J53)),"")</f>
        <v/>
      </c>
      <c r="T53" s="11" t="str">
        <f>IF(B53="CLOTHOID",IF(I53=TRUE,clothoidy(H53,M53),clothoidy(H53,M53-J53))*IF(G53=TRUE,1,-1),"")</f>
        <v/>
      </c>
      <c r="V53" s="9">
        <f t="shared" si="18"/>
        <v>0</v>
      </c>
      <c r="W53" s="9">
        <f t="shared" si="19"/>
        <v>0</v>
      </c>
      <c r="X53" s="9">
        <f t="shared" si="20"/>
        <v>-2.3053616732051037</v>
      </c>
      <c r="Y53" s="9">
        <f t="shared" si="21"/>
        <v>62575.929561288598</v>
      </c>
      <c r="Z53" s="9">
        <f t="shared" si="22"/>
        <v>628524.35297697689</v>
      </c>
      <c r="AB53" s="21">
        <f t="shared" si="23"/>
        <v>0</v>
      </c>
      <c r="AC53" s="22">
        <f t="shared" si="24"/>
        <v>5.0000000006988898E-7</v>
      </c>
      <c r="AD53" s="22">
        <f t="shared" si="25"/>
        <v>-4.0034457924775779E-5</v>
      </c>
      <c r="AE53" s="23">
        <f t="shared" si="26"/>
        <v>3.9759790524840355E-5</v>
      </c>
    </row>
    <row r="54" spans="1:31" x14ac:dyDescent="0.2">
      <c r="A54">
        <f t="shared" si="13"/>
        <v>13761.3261</v>
      </c>
      <c r="B54" s="10" t="s">
        <v>21</v>
      </c>
      <c r="C54" s="10">
        <v>62575.929499999998</v>
      </c>
      <c r="D54" s="10">
        <v>628524.35290000006</v>
      </c>
      <c r="E54" s="10">
        <v>-2.3053616732051037</v>
      </c>
      <c r="F54" s="10">
        <v>0</v>
      </c>
      <c r="G54" s="10" t="b">
        <v>0</v>
      </c>
      <c r="H54" s="10">
        <v>351.19861901778603</v>
      </c>
      <c r="I54" s="10" t="b">
        <v>1</v>
      </c>
      <c r="J54" s="10">
        <v>63.251500000000306</v>
      </c>
      <c r="K54" s="4"/>
      <c r="L54" s="4"/>
      <c r="M54" s="11">
        <f t="shared" si="14"/>
        <v>63.251500000000306</v>
      </c>
      <c r="N54" s="11">
        <f t="shared" si="15"/>
        <v>-2.3053616732051037</v>
      </c>
      <c r="O54" s="11">
        <f>IF(B54="CLOTHOID",IF(I54=TRUE,-clothoidx(H54,M54-J54),clothoidx(H54,M54)),"")</f>
        <v>0</v>
      </c>
      <c r="P54" s="11">
        <f>IF(B54="CLOTHOID",IF(I54=TRUE,clothoidy(H54,M54-J54),clothoidy(H54,M54))*IF(G54=TRUE,-1,1),"")</f>
        <v>0</v>
      </c>
      <c r="Q54" s="11">
        <f t="shared" si="16"/>
        <v>62575.929499999998</v>
      </c>
      <c r="R54" s="11">
        <f t="shared" si="17"/>
        <v>628524.35290000006</v>
      </c>
      <c r="S54" s="11">
        <f>IF(B54="CLOTHOID",IF(I54=TRUE,clothoidx(H54,M54),-clothoidx(H54,M54-J54)),"")</f>
        <v>63.249836289843344</v>
      </c>
      <c r="T54" s="11">
        <f>IF(B54="CLOTHOID",IF(I54=TRUE,clothoidy(H54,M54),clothoidy(H54,M54-J54))*IF(G54=TRUE,1,-1),"")</f>
        <v>-0.34193808773598738</v>
      </c>
      <c r="V54" s="9">
        <f t="shared" si="18"/>
        <v>1950.0007114455691</v>
      </c>
      <c r="W54" s="9">
        <f t="shared" si="19"/>
        <v>1.6218327416175883E-2</v>
      </c>
      <c r="X54" s="9">
        <f t="shared" si="20"/>
        <v>-2.3215800006212794</v>
      </c>
      <c r="Y54" s="9">
        <f t="shared" si="21"/>
        <v>62533.281610601967</v>
      </c>
      <c r="Z54" s="9">
        <f t="shared" si="22"/>
        <v>628477.64298411238</v>
      </c>
      <c r="AB54" s="21">
        <f t="shared" si="23"/>
        <v>0</v>
      </c>
      <c r="AC54" s="22">
        <f t="shared" si="24"/>
        <v>0</v>
      </c>
      <c r="AD54" s="22">
        <f t="shared" si="25"/>
        <v>-6.1288599681574851E-5</v>
      </c>
      <c r="AE54" s="23">
        <f t="shared" si="26"/>
        <v>-7.69768375903368E-5</v>
      </c>
    </row>
    <row r="55" spans="1:31" x14ac:dyDescent="0.2">
      <c r="A55">
        <f t="shared" si="13"/>
        <v>13824.577600000001</v>
      </c>
      <c r="B55" s="10" t="s">
        <v>22</v>
      </c>
      <c r="C55" s="10">
        <v>62533.281600000002</v>
      </c>
      <c r="D55" s="10">
        <v>628477.64300000004</v>
      </c>
      <c r="E55" s="10">
        <v>-2.3215796732051035</v>
      </c>
      <c r="F55" s="10">
        <v>1950</v>
      </c>
      <c r="G55" s="10" t="b">
        <v>0</v>
      </c>
      <c r="H55" s="10">
        <v>0</v>
      </c>
      <c r="I55" s="10" t="s">
        <v>14</v>
      </c>
      <c r="J55" s="10">
        <v>296.70420000000013</v>
      </c>
      <c r="K55" s="4"/>
      <c r="L55" s="4"/>
      <c r="M55" s="11">
        <f t="shared" si="14"/>
        <v>0</v>
      </c>
      <c r="N55" s="11" t="str">
        <f t="shared" si="15"/>
        <v/>
      </c>
      <c r="O55" s="11" t="str">
        <f>IF(B55="CLOTHOID",IF(I55=TRUE,-clothoidx(H55,M55-J55),clothoidx(H55,M55)),"")</f>
        <v/>
      </c>
      <c r="P55" s="11" t="str">
        <f>IF(B55="CLOTHOID",IF(I55=TRUE,clothoidy(H55,M55-J55),clothoidy(H55,M55))*IF(G55=TRUE,-1,1),"")</f>
        <v/>
      </c>
      <c r="Q55" s="11" t="str">
        <f t="shared" si="16"/>
        <v/>
      </c>
      <c r="R55" s="11" t="str">
        <f t="shared" si="17"/>
        <v/>
      </c>
      <c r="S55" s="11" t="str">
        <f>IF(B55="CLOTHOID",IF(I55=TRUE,clothoidx(H55,M55),-clothoidx(H55,M55-J55)),"")</f>
        <v/>
      </c>
      <c r="T55" s="11" t="str">
        <f>IF(B55="CLOTHOID",IF(I55=TRUE,clothoidy(H55,M55),clothoidy(H55,M55-J55))*IF(G55=TRUE,1,-1),"")</f>
        <v/>
      </c>
      <c r="V55" s="9">
        <f t="shared" si="18"/>
        <v>1950</v>
      </c>
      <c r="W55" s="9">
        <f t="shared" si="19"/>
        <v>0.15215600000000007</v>
      </c>
      <c r="X55" s="9">
        <f t="shared" si="20"/>
        <v>-2.4737356732051037</v>
      </c>
      <c r="Y55" s="9">
        <f t="shared" si="21"/>
        <v>62315.174357418677</v>
      </c>
      <c r="Z55" s="9">
        <f t="shared" si="22"/>
        <v>628276.91207972472</v>
      </c>
      <c r="AB55" s="21">
        <f t="shared" si="23"/>
        <v>-7.1144556909530365E-4</v>
      </c>
      <c r="AC55" s="22">
        <f t="shared" si="24"/>
        <v>3.2741617594922445E-7</v>
      </c>
      <c r="AD55" s="22">
        <f t="shared" si="25"/>
        <v>-1.0601965186651796E-5</v>
      </c>
      <c r="AE55" s="23">
        <f t="shared" si="26"/>
        <v>1.5887664631009102E-5</v>
      </c>
    </row>
    <row r="56" spans="1:31" x14ac:dyDescent="0.2">
      <c r="A56">
        <f t="shared" si="13"/>
        <v>14121.281800000001</v>
      </c>
      <c r="B56" s="10" t="s">
        <v>21</v>
      </c>
      <c r="C56" s="10">
        <v>62315.174299999999</v>
      </c>
      <c r="D56" s="10">
        <v>628276.91220000002</v>
      </c>
      <c r="E56" s="10">
        <v>-2.4737356732051037</v>
      </c>
      <c r="F56" s="10">
        <v>1950</v>
      </c>
      <c r="G56" s="10" t="b">
        <v>0</v>
      </c>
      <c r="H56" s="10">
        <v>351.19857630690933</v>
      </c>
      <c r="I56" s="10" t="b">
        <v>1</v>
      </c>
      <c r="J56" s="10">
        <v>4.332300000000032</v>
      </c>
      <c r="K56" s="4"/>
      <c r="L56" s="4"/>
      <c r="M56" s="11">
        <f t="shared" si="14"/>
        <v>67.58380769230773</v>
      </c>
      <c r="N56" s="11">
        <f t="shared" si="15"/>
        <v>-2.4575173378993838</v>
      </c>
      <c r="O56" s="11">
        <f>IF(B56="CLOTHOID",IF(I56=TRUE,-clothoidx(H56,M56-J56),clothoidx(H56,M56)),"")</f>
        <v>-63.249843980329771</v>
      </c>
      <c r="P56" s="11">
        <f>IF(B56="CLOTHOID",IF(I56=TRUE,clothoidy(H56,M56-J56),clothoidy(H56,M56))*IF(G56=TRUE,-1,1),"")</f>
        <v>0.34193829565313549</v>
      </c>
      <c r="Q56" s="11">
        <f t="shared" si="16"/>
        <v>62364.409255738326</v>
      </c>
      <c r="R56" s="11">
        <f t="shared" si="17"/>
        <v>628316.61835593055</v>
      </c>
      <c r="S56" s="11">
        <f>IF(B56="CLOTHOID",IF(I56=TRUE,clothoidx(H56,M56),-clothoidx(H56,M56-J56)),"")</f>
        <v>67.581490642281224</v>
      </c>
      <c r="T56" s="11">
        <f>IF(B56="CLOTHOID",IF(I56=TRUE,clothoidy(H56,M56),clothoidy(H56,M56-J56))*IF(G56=TRUE,1,-1),"")</f>
        <v>-0.41711959294292683</v>
      </c>
      <c r="V56" s="9">
        <f t="shared" si="18"/>
        <v>1824.9998662629127</v>
      </c>
      <c r="W56" s="9">
        <f t="shared" si="19"/>
        <v>2.2977777476745399E-3</v>
      </c>
      <c r="X56" s="9">
        <f t="shared" si="20"/>
        <v>-2.4760334509527784</v>
      </c>
      <c r="Y56" s="9">
        <f t="shared" si="21"/>
        <v>62311.769746321479</v>
      </c>
      <c r="Z56" s="9">
        <f t="shared" si="22"/>
        <v>628274.23305288178</v>
      </c>
      <c r="AB56" s="21">
        <f t="shared" si="23"/>
        <v>0</v>
      </c>
      <c r="AC56" s="22">
        <f t="shared" si="24"/>
        <v>0</v>
      </c>
      <c r="AD56" s="22">
        <f t="shared" si="25"/>
        <v>-5.7418677897658199E-5</v>
      </c>
      <c r="AE56" s="23">
        <f t="shared" si="26"/>
        <v>1.2027530465275049E-4</v>
      </c>
    </row>
    <row r="57" spans="1:31" x14ac:dyDescent="0.2">
      <c r="A57">
        <f t="shared" si="13"/>
        <v>14125.614100000001</v>
      </c>
      <c r="B57" s="10" t="s">
        <v>22</v>
      </c>
      <c r="C57" s="10">
        <v>62311.769699999997</v>
      </c>
      <c r="D57" s="10">
        <v>628274.23309999995</v>
      </c>
      <c r="E57" s="10">
        <v>-2.4760336732051034</v>
      </c>
      <c r="F57" s="10">
        <v>1825</v>
      </c>
      <c r="G57" s="10" t="b">
        <v>0</v>
      </c>
      <c r="H57" s="10">
        <v>0</v>
      </c>
      <c r="I57" s="10" t="s">
        <v>14</v>
      </c>
      <c r="J57" s="10">
        <v>1519.6601999999984</v>
      </c>
      <c r="K57" s="4"/>
      <c r="L57" s="4"/>
      <c r="M57" s="11">
        <f t="shared" si="14"/>
        <v>0</v>
      </c>
      <c r="N57" s="11" t="str">
        <f t="shared" si="15"/>
        <v/>
      </c>
      <c r="O57" s="11" t="str">
        <f>IF(B57="CLOTHOID",IF(I57=TRUE,-clothoidx(H57,M57-J57),clothoidx(H57,M57)),"")</f>
        <v/>
      </c>
      <c r="P57" s="11" t="str">
        <f>IF(B57="CLOTHOID",IF(I57=TRUE,clothoidy(H57,M57-J57),clothoidy(H57,M57))*IF(G57=TRUE,-1,1),"")</f>
        <v/>
      </c>
      <c r="Q57" s="11" t="str">
        <f t="shared" si="16"/>
        <v/>
      </c>
      <c r="R57" s="11" t="str">
        <f t="shared" si="17"/>
        <v/>
      </c>
      <c r="S57" s="11" t="str">
        <f>IF(B57="CLOTHOID",IF(I57=TRUE,clothoidx(H57,M57),-clothoidx(H57,M57-J57)),"")</f>
        <v/>
      </c>
      <c r="T57" s="11" t="str">
        <f>IF(B57="CLOTHOID",IF(I57=TRUE,clothoidy(H57,M57),clothoidy(H57,M57-J57))*IF(G57=TRUE,1,-1),"")</f>
        <v/>
      </c>
      <c r="V57" s="9">
        <f t="shared" si="18"/>
        <v>1825</v>
      </c>
      <c r="W57" s="9">
        <f t="shared" si="19"/>
        <v>0.83269052054794435</v>
      </c>
      <c r="X57" s="9">
        <f t="shared" si="20"/>
        <v>-3.3087241937530476</v>
      </c>
      <c r="Y57" s="9">
        <f t="shared" si="21"/>
        <v>60881.237146535772</v>
      </c>
      <c r="Z57" s="9">
        <f t="shared" si="22"/>
        <v>627910.15606447938</v>
      </c>
      <c r="AB57" s="21">
        <f t="shared" si="23"/>
        <v>1.3373708725339384E-4</v>
      </c>
      <c r="AC57" s="22">
        <f t="shared" si="24"/>
        <v>-2.2225232498840342E-7</v>
      </c>
      <c r="AD57" s="22">
        <f t="shared" si="25"/>
        <v>-4.6321481931954622E-5</v>
      </c>
      <c r="AE57" s="23">
        <f t="shared" si="26"/>
        <v>4.7118170186877251E-5</v>
      </c>
    </row>
    <row r="58" spans="1:31" x14ac:dyDescent="0.2">
      <c r="A58">
        <f t="shared" si="13"/>
        <v>15645.274299999999</v>
      </c>
      <c r="B58" s="10" t="s">
        <v>21</v>
      </c>
      <c r="C58" s="10">
        <v>60881.237099999998</v>
      </c>
      <c r="D58" s="10">
        <v>627910.15639999998</v>
      </c>
      <c r="E58" s="10">
        <v>-3.3087246732051039</v>
      </c>
      <c r="F58" s="10">
        <v>1825</v>
      </c>
      <c r="G58" s="10" t="b">
        <v>0</v>
      </c>
      <c r="H58" s="10">
        <v>351.19861901778603</v>
      </c>
      <c r="I58" s="10" t="b">
        <v>0</v>
      </c>
      <c r="J58" s="10">
        <v>67.583800000000338</v>
      </c>
      <c r="K58" s="4"/>
      <c r="L58" s="4"/>
      <c r="M58" s="11">
        <f t="shared" si="14"/>
        <v>67.583819178082194</v>
      </c>
      <c r="N58" s="11">
        <f t="shared" si="15"/>
        <v>-3.3272407880484125</v>
      </c>
      <c r="O58" s="11">
        <f>IF(B58="CLOTHOID",IF(I58=TRUE,-clothoidx(H58,M58-J58),clothoidx(H58,M58)),"")</f>
        <v>67.581502127213952</v>
      </c>
      <c r="P58" s="11">
        <f>IF(B58="CLOTHOID",IF(I58=TRUE,clothoidy(H58,M58-J58),clothoidy(H58,M58))*IF(G58=TRUE,-1,1),"")</f>
        <v>0.41711970415197486</v>
      </c>
      <c r="Q58" s="11">
        <f t="shared" si="16"/>
        <v>60814.739869402831</v>
      </c>
      <c r="R58" s="11">
        <f t="shared" si="17"/>
        <v>627922.22088264639</v>
      </c>
      <c r="S58" s="11">
        <f>IF(B58="CLOTHOID",IF(I58=TRUE,clothoidx(H58,M58),-clothoidx(H58,M58-J58)),"")</f>
        <v>-1.9178081856807694E-5</v>
      </c>
      <c r="T58" s="11">
        <f>IF(B58="CLOTHOID",IF(I58=TRUE,clothoidy(H58,M58),clothoidy(H58,M58-J58))*IF(G58=TRUE,1,-1),"")</f>
        <v>-9.5314429885006335E-21</v>
      </c>
      <c r="V58" s="9">
        <f t="shared" si="18"/>
        <v>0</v>
      </c>
      <c r="W58" s="9">
        <f t="shared" si="19"/>
        <v>1.8516114843308697E-2</v>
      </c>
      <c r="X58" s="9">
        <f t="shared" si="20"/>
        <v>-3.3272407880484125</v>
      </c>
      <c r="Y58" s="9">
        <f t="shared" si="21"/>
        <v>60814.739888251373</v>
      </c>
      <c r="Z58" s="9">
        <f t="shared" si="22"/>
        <v>627922.22087910643</v>
      </c>
      <c r="AB58" s="21">
        <f t="shared" si="23"/>
        <v>0</v>
      </c>
      <c r="AC58" s="22">
        <f t="shared" si="24"/>
        <v>-4.794520562789728E-7</v>
      </c>
      <c r="AD58" s="22">
        <f t="shared" si="25"/>
        <v>-4.6535773435607553E-5</v>
      </c>
      <c r="AE58" s="23">
        <f t="shared" si="26"/>
        <v>3.3552059903740883E-4</v>
      </c>
    </row>
    <row r="59" spans="1:31" x14ac:dyDescent="0.2">
      <c r="A59">
        <f t="shared" si="13"/>
        <v>15712.858099999999</v>
      </c>
      <c r="B59" s="10" t="s">
        <v>20</v>
      </c>
      <c r="C59" s="10">
        <v>60814.7399</v>
      </c>
      <c r="D59" s="10">
        <v>627922.22080000001</v>
      </c>
      <c r="E59" s="10">
        <v>-3.3272406732051039</v>
      </c>
      <c r="F59" s="10">
        <v>0</v>
      </c>
      <c r="G59" s="10" t="b">
        <v>0</v>
      </c>
      <c r="H59" s="10">
        <v>0</v>
      </c>
      <c r="I59" s="10" t="s">
        <v>14</v>
      </c>
      <c r="J59" s="10">
        <v>137.22860000000037</v>
      </c>
      <c r="K59" s="4"/>
      <c r="L59" s="4"/>
      <c r="M59" s="11">
        <f t="shared" si="14"/>
        <v>0</v>
      </c>
      <c r="N59" s="11" t="str">
        <f t="shared" si="15"/>
        <v/>
      </c>
      <c r="O59" s="11" t="str">
        <f>IF(B59="CLOTHOID",IF(I59=TRUE,-clothoidx(H59,M59-J59),clothoidx(H59,M59)),"")</f>
        <v/>
      </c>
      <c r="P59" s="11" t="str">
        <f>IF(B59="CLOTHOID",IF(I59=TRUE,clothoidy(H59,M59-J59),clothoidy(H59,M59))*IF(G59=TRUE,-1,1),"")</f>
        <v/>
      </c>
      <c r="Q59" s="11" t="str">
        <f t="shared" si="16"/>
        <v/>
      </c>
      <c r="R59" s="11" t="str">
        <f t="shared" si="17"/>
        <v/>
      </c>
      <c r="S59" s="11" t="str">
        <f>IF(B59="CLOTHOID",IF(I59=TRUE,clothoidx(H59,M59),-clothoidx(H59,M59-J59)),"")</f>
        <v/>
      </c>
      <c r="T59" s="11" t="str">
        <f>IF(B59="CLOTHOID",IF(I59=TRUE,clothoidy(H59,M59),clothoidy(H59,M59-J59))*IF(G59=TRUE,1,-1),"")</f>
        <v/>
      </c>
      <c r="V59" s="9">
        <f t="shared" si="18"/>
        <v>0</v>
      </c>
      <c r="W59" s="9">
        <f t="shared" si="19"/>
        <v>0</v>
      </c>
      <c r="X59" s="9">
        <f t="shared" si="20"/>
        <v>-3.3272406732051039</v>
      </c>
      <c r="Y59" s="9">
        <f t="shared" si="21"/>
        <v>60679.869320538244</v>
      </c>
      <c r="Z59" s="9">
        <f t="shared" si="22"/>
        <v>627947.55092936428</v>
      </c>
      <c r="AB59" s="21">
        <f t="shared" si="23"/>
        <v>0</v>
      </c>
      <c r="AC59" s="22">
        <f t="shared" si="24"/>
        <v>1.1484330864064418E-7</v>
      </c>
      <c r="AD59" s="22">
        <f t="shared" si="25"/>
        <v>1.1748627002816647E-5</v>
      </c>
      <c r="AE59" s="23">
        <f t="shared" si="26"/>
        <v>-7.9106423072516918E-5</v>
      </c>
    </row>
    <row r="60" spans="1:31" x14ac:dyDescent="0.2">
      <c r="A60">
        <f t="shared" si="13"/>
        <v>15850.0867</v>
      </c>
      <c r="B60" s="10" t="s">
        <v>21</v>
      </c>
      <c r="C60" s="10">
        <v>60679.869299999998</v>
      </c>
      <c r="D60" s="10">
        <v>627947.55090000003</v>
      </c>
      <c r="E60" s="10">
        <v>-3.3272406732051039</v>
      </c>
      <c r="F60" s="10">
        <v>0</v>
      </c>
      <c r="G60" s="10" t="b">
        <v>1</v>
      </c>
      <c r="H60" s="10">
        <v>351.19861901778603</v>
      </c>
      <c r="I60" s="10" t="b">
        <v>1</v>
      </c>
      <c r="J60" s="10">
        <v>74.751800000000003</v>
      </c>
      <c r="K60" s="4"/>
      <c r="L60" s="4"/>
      <c r="M60" s="11">
        <f t="shared" si="14"/>
        <v>74.751800000000003</v>
      </c>
      <c r="N60" s="11">
        <f t="shared" si="15"/>
        <v>-3.3272406732051039</v>
      </c>
      <c r="O60" s="11">
        <f>IF(B60="CLOTHOID",IF(I60=TRUE,-clothoidx(H60,M60-J60),clothoidx(H60,M60)),"")</f>
        <v>0</v>
      </c>
      <c r="P60" s="11">
        <f>IF(B60="CLOTHOID",IF(I60=TRUE,clothoidy(H60,M60-J60),clothoidy(H60,M60))*IF(G60=TRUE,-1,1),"")</f>
        <v>0</v>
      </c>
      <c r="Q60" s="11">
        <f t="shared" si="16"/>
        <v>60679.869299999998</v>
      </c>
      <c r="R60" s="11">
        <f t="shared" si="17"/>
        <v>627947.55090000003</v>
      </c>
      <c r="S60" s="11">
        <f>IF(B60="CLOTHOID",IF(I60=TRUE,clothoidx(H60,M60),-clothoidx(H60,M60-J60)),"")</f>
        <v>74.747964457779503</v>
      </c>
      <c r="T60" s="11">
        <f>IF(B60="CLOTHOID",IF(I60=TRUE,clothoidy(H60,M60),clothoidy(H60,M60-J60))*IF(G60=TRUE,1,-1),"")</f>
        <v>0.56440674810396896</v>
      </c>
      <c r="V60" s="9">
        <f t="shared" si="18"/>
        <v>1650.0000000000002</v>
      </c>
      <c r="W60" s="9">
        <f t="shared" si="19"/>
        <v>2.2652060606060606E-2</v>
      </c>
      <c r="X60" s="9">
        <f t="shared" si="20"/>
        <v>-3.3045886125990434</v>
      </c>
      <c r="Y60" s="9">
        <f t="shared" si="21"/>
        <v>60606.301561380264</v>
      </c>
      <c r="Z60" s="9">
        <f t="shared" si="22"/>
        <v>627960.7934292123</v>
      </c>
      <c r="AB60" s="21">
        <f t="shared" si="23"/>
        <v>0</v>
      </c>
      <c r="AC60" s="22">
        <f t="shared" si="24"/>
        <v>0</v>
      </c>
      <c r="AD60" s="22">
        <f t="shared" si="25"/>
        <v>-2.0538245735224336E-5</v>
      </c>
      <c r="AE60" s="23">
        <f t="shared" si="26"/>
        <v>-2.9364251531660557E-5</v>
      </c>
    </row>
    <row r="61" spans="1:31" x14ac:dyDescent="0.2">
      <c r="A61">
        <f t="shared" si="13"/>
        <v>15924.8385</v>
      </c>
      <c r="B61" s="10" t="s">
        <v>22</v>
      </c>
      <c r="C61" s="10">
        <v>60606.301599999999</v>
      </c>
      <c r="D61" s="10">
        <v>627960.79350000003</v>
      </c>
      <c r="E61" s="10">
        <v>-3.3045886732051031</v>
      </c>
      <c r="F61" s="10">
        <v>1650</v>
      </c>
      <c r="G61" s="10" t="b">
        <v>1</v>
      </c>
      <c r="H61" s="10">
        <v>0</v>
      </c>
      <c r="I61" s="10" t="s">
        <v>14</v>
      </c>
      <c r="J61" s="10">
        <v>178.24120000000039</v>
      </c>
      <c r="K61" s="4"/>
      <c r="L61" s="4"/>
      <c r="M61" s="11">
        <f t="shared" si="14"/>
        <v>0</v>
      </c>
      <c r="N61" s="11" t="str">
        <f t="shared" si="15"/>
        <v/>
      </c>
      <c r="O61" s="11" t="str">
        <f>IF(B61="CLOTHOID",IF(I61=TRUE,-clothoidx(H61,M61-J61),clothoidx(H61,M61)),"")</f>
        <v/>
      </c>
      <c r="P61" s="11" t="str">
        <f>IF(B61="CLOTHOID",IF(I61=TRUE,clothoidy(H61,M61-J61),clothoidy(H61,M61))*IF(G61=TRUE,-1,1),"")</f>
        <v/>
      </c>
      <c r="Q61" s="11" t="str">
        <f t="shared" si="16"/>
        <v/>
      </c>
      <c r="R61" s="11" t="str">
        <f t="shared" si="17"/>
        <v/>
      </c>
      <c r="S61" s="11" t="str">
        <f>IF(B61="CLOTHOID",IF(I61=TRUE,clothoidx(H61,M61),-clothoidx(H61,M61-J61)),"")</f>
        <v/>
      </c>
      <c r="T61" s="11" t="str">
        <f>IF(B61="CLOTHOID",IF(I61=TRUE,clothoidy(H61,M61),clothoidy(H61,M61-J61))*IF(G61=TRUE,1,-1),"")</f>
        <v/>
      </c>
      <c r="V61" s="9">
        <f t="shared" si="18"/>
        <v>1650</v>
      </c>
      <c r="W61" s="9">
        <f t="shared" si="19"/>
        <v>0.10802496969696994</v>
      </c>
      <c r="X61" s="9">
        <f t="shared" si="20"/>
        <v>-3.1965637035081333</v>
      </c>
      <c r="Y61" s="9">
        <f t="shared" si="21"/>
        <v>60429.204013235118</v>
      </c>
      <c r="Z61" s="9">
        <f t="shared" si="22"/>
        <v>627980.17099999695</v>
      </c>
      <c r="AB61" s="21">
        <f t="shared" si="23"/>
        <v>0</v>
      </c>
      <c r="AC61" s="22">
        <f t="shared" si="24"/>
        <v>-6.0606059726353578E-8</v>
      </c>
      <c r="AD61" s="22">
        <f t="shared" si="25"/>
        <v>3.8619735278189182E-5</v>
      </c>
      <c r="AE61" s="23">
        <f t="shared" si="26"/>
        <v>7.0787733420729637E-5</v>
      </c>
    </row>
    <row r="62" spans="1:31" x14ac:dyDescent="0.2">
      <c r="A62">
        <f t="shared" si="13"/>
        <v>16103.0797</v>
      </c>
      <c r="B62" s="10" t="s">
        <v>21</v>
      </c>
      <c r="C62" s="10">
        <v>60429.203999999998</v>
      </c>
      <c r="D62" s="10">
        <v>627980.17090000003</v>
      </c>
      <c r="E62" s="10">
        <v>-3.1965636732051035</v>
      </c>
      <c r="F62" s="10">
        <v>1650</v>
      </c>
      <c r="G62" s="10" t="b">
        <v>1</v>
      </c>
      <c r="H62" s="10">
        <v>371.8747504200843</v>
      </c>
      <c r="I62" s="10" t="b">
        <v>0</v>
      </c>
      <c r="J62" s="10">
        <v>9.0607999999992899</v>
      </c>
      <c r="K62" s="4"/>
      <c r="L62" s="4"/>
      <c r="M62" s="11">
        <f t="shared" si="14"/>
        <v>83.812624242424235</v>
      </c>
      <c r="N62" s="11">
        <f t="shared" si="15"/>
        <v>-3.1711659082831569</v>
      </c>
      <c r="O62" s="11">
        <f>IF(B62="CLOTHOID",IF(I62=TRUE,-clothoidx(H62,M62-J62),clothoidx(H62,M62)),"")</f>
        <v>83.807218100191605</v>
      </c>
      <c r="P62" s="11">
        <f>IF(B62="CLOTHOID",IF(I62=TRUE,clothoidy(H62,M62-J62),clothoidy(H62,M62))*IF(G62=TRUE,-1,1),"")</f>
        <v>-0.70951841761639911</v>
      </c>
      <c r="Q62" s="11">
        <f t="shared" si="16"/>
        <v>60345.454406888595</v>
      </c>
      <c r="R62" s="11">
        <f t="shared" si="17"/>
        <v>627983.35819913133</v>
      </c>
      <c r="S62" s="11">
        <f>IF(B62="CLOTHOID",IF(I62=TRUE,clothoidx(H62,M62),-clothoidx(H62,M62-J62)),"")</f>
        <v>-74.748773159484358</v>
      </c>
      <c r="T62" s="11">
        <f>IF(B62="CLOTHOID",IF(I62=TRUE,clothoidy(H62,M62),clothoidy(H62,M62-J62))*IF(G62=TRUE,1,-1),"")</f>
        <v>0.50339406564951916</v>
      </c>
      <c r="V62" s="9">
        <f t="shared" si="18"/>
        <v>1849.9994000348938</v>
      </c>
      <c r="W62" s="9">
        <f t="shared" si="19"/>
        <v>5.1945626287419385E-3</v>
      </c>
      <c r="X62" s="9">
        <f t="shared" si="20"/>
        <v>-3.1913691105763617</v>
      </c>
      <c r="Y62" s="9">
        <f t="shared" si="21"/>
        <v>60420.155610805654</v>
      </c>
      <c r="Z62" s="9">
        <f t="shared" si="22"/>
        <v>627980.64478287566</v>
      </c>
      <c r="AB62" s="21">
        <f t="shared" si="23"/>
        <v>0</v>
      </c>
      <c r="AC62" s="22">
        <f t="shared" si="24"/>
        <v>3.0303029863176789E-8</v>
      </c>
      <c r="AD62" s="22">
        <f t="shared" si="25"/>
        <v>-1.323511969530955E-5</v>
      </c>
      <c r="AE62" s="23">
        <f t="shared" si="26"/>
        <v>-9.9996919743716717E-5</v>
      </c>
    </row>
    <row r="63" spans="1:31" x14ac:dyDescent="0.2">
      <c r="A63">
        <f t="shared" si="13"/>
        <v>16112.1405</v>
      </c>
      <c r="B63" s="10" t="s">
        <v>22</v>
      </c>
      <c r="C63" s="10">
        <v>60420.155500000001</v>
      </c>
      <c r="D63" s="10">
        <v>627980.64480000001</v>
      </c>
      <c r="E63" s="10">
        <v>-3.1913686732051039</v>
      </c>
      <c r="F63" s="10">
        <v>1850</v>
      </c>
      <c r="G63" s="10" t="b">
        <v>1</v>
      </c>
      <c r="H63" s="10">
        <v>0</v>
      </c>
      <c r="I63" s="10" t="s">
        <v>14</v>
      </c>
      <c r="J63" s="10">
        <v>355.43620000000192</v>
      </c>
      <c r="K63" s="4"/>
      <c r="L63" s="4"/>
      <c r="M63" s="11">
        <f t="shared" si="14"/>
        <v>0</v>
      </c>
      <c r="N63" s="11" t="str">
        <f t="shared" si="15"/>
        <v/>
      </c>
      <c r="O63" s="11" t="str">
        <f>IF(B63="CLOTHOID",IF(I63=TRUE,-clothoidx(H63,M63-J63),clothoidx(H63,M63)),"")</f>
        <v/>
      </c>
      <c r="P63" s="11" t="str">
        <f>IF(B63="CLOTHOID",IF(I63=TRUE,clothoidy(H63,M63-J63),clothoidy(H63,M63))*IF(G63=TRUE,-1,1),"")</f>
        <v/>
      </c>
      <c r="Q63" s="11" t="str">
        <f t="shared" si="16"/>
        <v/>
      </c>
      <c r="R63" s="11" t="str">
        <f t="shared" si="17"/>
        <v/>
      </c>
      <c r="S63" s="11" t="str">
        <f>IF(B63="CLOTHOID",IF(I63=TRUE,clothoidx(H63,M63),-clothoidx(H63,M63-J63)),"")</f>
        <v/>
      </c>
      <c r="T63" s="11" t="str">
        <f>IF(B63="CLOTHOID",IF(I63=TRUE,clothoidy(H63,M63),clothoidy(H63,M63-J63))*IF(G63=TRUE,1,-1),"")</f>
        <v/>
      </c>
      <c r="V63" s="9">
        <f t="shared" si="18"/>
        <v>1850</v>
      </c>
      <c r="W63" s="9">
        <f t="shared" si="19"/>
        <v>0.19212767567567671</v>
      </c>
      <c r="X63" s="9">
        <f t="shared" si="20"/>
        <v>-2.999240997529427</v>
      </c>
      <c r="Y63" s="9">
        <f t="shared" si="21"/>
        <v>60065.645842963582</v>
      </c>
      <c r="Z63" s="9">
        <f t="shared" si="22"/>
        <v>627964.22359194199</v>
      </c>
      <c r="AB63" s="21">
        <f t="shared" si="23"/>
        <v>5.9996510617565946E-4</v>
      </c>
      <c r="AC63" s="22">
        <f t="shared" si="24"/>
        <v>4.3737125787757236E-7</v>
      </c>
      <c r="AD63" s="22">
        <f t="shared" si="25"/>
        <v>-1.1080565309384838E-4</v>
      </c>
      <c r="AE63" s="23">
        <f t="shared" si="26"/>
        <v>1.712434459477663E-5</v>
      </c>
    </row>
    <row r="64" spans="1:31" x14ac:dyDescent="0.2">
      <c r="A64">
        <f t="shared" si="13"/>
        <v>16467.576700000001</v>
      </c>
      <c r="B64" s="10" t="s">
        <v>21</v>
      </c>
      <c r="C64" s="10">
        <v>60065.645900000003</v>
      </c>
      <c r="D64" s="10">
        <v>627964.22369999997</v>
      </c>
      <c r="E64" s="10">
        <v>-2.9992416732051037</v>
      </c>
      <c r="F64" s="10">
        <v>1850</v>
      </c>
      <c r="G64" s="10" t="b">
        <v>1</v>
      </c>
      <c r="H64" s="10">
        <v>351.19861901778603</v>
      </c>
      <c r="I64" s="10" t="b">
        <v>0</v>
      </c>
      <c r="J64" s="10">
        <v>66.670500000000175</v>
      </c>
      <c r="K64" s="4"/>
      <c r="L64" s="4"/>
      <c r="M64" s="11">
        <f t="shared" si="14"/>
        <v>66.670524324324333</v>
      </c>
      <c r="N64" s="11">
        <f t="shared" si="15"/>
        <v>-2.9812226125769103</v>
      </c>
      <c r="O64" s="11">
        <f>IF(B64="CLOTHOID",IF(I64=TRUE,-clothoidx(H64,M64-J64),clothoidx(H64,M64)),"")</f>
        <v>66.668359654637896</v>
      </c>
      <c r="P64" s="11">
        <f>IF(B64="CLOTHOID",IF(I64=TRUE,clothoidy(H64,M64-J64),clothoidy(H64,M64))*IF(G64=TRUE,-1,1),"")</f>
        <v>-0.40043745294794292</v>
      </c>
      <c r="Q64" s="11">
        <f t="shared" si="16"/>
        <v>59999.76906804349</v>
      </c>
      <c r="R64" s="11">
        <f t="shared" si="17"/>
        <v>627953.97316144989</v>
      </c>
      <c r="S64" s="11">
        <f>IF(B64="CLOTHOID",IF(I64=TRUE,clothoidx(H64,M64),-clothoidx(H64,M64-J64)),"")</f>
        <v>-2.4324324158442323E-5</v>
      </c>
      <c r="T64" s="11">
        <f>IF(B64="CLOTHOID",IF(I64=TRUE,clothoidy(H64,M64),clothoidy(H64,M64-J64))*IF(G64=TRUE,1,-1),"")</f>
        <v>1.9447576916837088E-20</v>
      </c>
      <c r="V64" s="9">
        <f t="shared" si="18"/>
        <v>0</v>
      </c>
      <c r="W64" s="9">
        <f t="shared" si="19"/>
        <v>1.8019060628193369E-2</v>
      </c>
      <c r="X64" s="9">
        <f t="shared" si="20"/>
        <v>-2.9812226125769103</v>
      </c>
      <c r="Y64" s="9">
        <f t="shared" si="21"/>
        <v>59999.769092055692</v>
      </c>
      <c r="Z64" s="9">
        <f t="shared" si="22"/>
        <v>627953.97316533409</v>
      </c>
      <c r="AB64" s="21">
        <f t="shared" si="23"/>
        <v>0</v>
      </c>
      <c r="AC64" s="22">
        <f t="shared" si="24"/>
        <v>-6.7567567674231555E-7</v>
      </c>
      <c r="AD64" s="22">
        <f t="shared" si="25"/>
        <v>5.7036420912481844E-5</v>
      </c>
      <c r="AE64" s="23">
        <f t="shared" si="26"/>
        <v>1.0805798228830099E-4</v>
      </c>
    </row>
    <row r="65" spans="1:31" x14ac:dyDescent="0.2">
      <c r="A65">
        <f t="shared" si="13"/>
        <v>16534.247200000002</v>
      </c>
      <c r="B65" s="10" t="s">
        <v>20</v>
      </c>
      <c r="C65" s="10">
        <v>59999.769099999998</v>
      </c>
      <c r="D65" s="10">
        <v>627953.97309999994</v>
      </c>
      <c r="E65" s="10">
        <v>-2.9812216732051038</v>
      </c>
      <c r="F65" s="10">
        <v>0</v>
      </c>
      <c r="G65" s="10" t="b">
        <v>0</v>
      </c>
      <c r="H65" s="10">
        <v>0</v>
      </c>
      <c r="I65" s="10" t="s">
        <v>14</v>
      </c>
      <c r="J65" s="10">
        <v>829.84819999999672</v>
      </c>
      <c r="K65" s="4"/>
      <c r="L65" s="4"/>
      <c r="M65" s="11">
        <f t="shared" si="14"/>
        <v>0</v>
      </c>
      <c r="N65" s="11" t="str">
        <f t="shared" si="15"/>
        <v/>
      </c>
      <c r="O65" s="11" t="str">
        <f>IF(B65="CLOTHOID",IF(I65=TRUE,-clothoidx(H65,M65-J65),clothoidx(H65,M65)),"")</f>
        <v/>
      </c>
      <c r="P65" s="11" t="str">
        <f>IF(B65="CLOTHOID",IF(I65=TRUE,clothoidy(H65,M65-J65),clothoidy(H65,M65))*IF(G65=TRUE,-1,1),"")</f>
        <v/>
      </c>
      <c r="Q65" s="11" t="str">
        <f t="shared" si="16"/>
        <v/>
      </c>
      <c r="R65" s="11" t="str">
        <f t="shared" si="17"/>
        <v/>
      </c>
      <c r="S65" s="11" t="str">
        <f>IF(B65="CLOTHOID",IF(I65=TRUE,clothoidx(H65,M65),-clothoidx(H65,M65-J65)),"")</f>
        <v/>
      </c>
      <c r="T65" s="11" t="str">
        <f>IF(B65="CLOTHOID",IF(I65=TRUE,clothoidy(H65,M65),clothoidy(H65,M65-J65))*IF(G65=TRUE,1,-1),"")</f>
        <v/>
      </c>
      <c r="V65" s="9">
        <f t="shared" si="18"/>
        <v>0</v>
      </c>
      <c r="W65" s="9">
        <f t="shared" si="19"/>
        <v>0</v>
      </c>
      <c r="X65" s="9">
        <f t="shared" si="20"/>
        <v>-2.9812216732051038</v>
      </c>
      <c r="Y65" s="9">
        <f t="shared" si="21"/>
        <v>59180.569419563442</v>
      </c>
      <c r="Z65" s="9">
        <f t="shared" si="22"/>
        <v>627821.45925688953</v>
      </c>
      <c r="AB65" s="21">
        <f t="shared" si="23"/>
        <v>0</v>
      </c>
      <c r="AC65" s="22">
        <f t="shared" si="24"/>
        <v>9.3937180656311625E-7</v>
      </c>
      <c r="AD65" s="22">
        <f t="shared" si="25"/>
        <v>7.9443052527494729E-6</v>
      </c>
      <c r="AE65" s="23">
        <f t="shared" si="26"/>
        <v>-6.5334141254425049E-5</v>
      </c>
    </row>
    <row r="66" spans="1:31" x14ac:dyDescent="0.2">
      <c r="A66">
        <f t="shared" si="13"/>
        <v>17364.095399999998</v>
      </c>
      <c r="B66" s="10" t="s">
        <v>22</v>
      </c>
      <c r="C66" s="10">
        <v>59180.5694</v>
      </c>
      <c r="D66" s="10">
        <v>627821.45970000001</v>
      </c>
      <c r="E66" s="10">
        <v>-2.9812216732051038</v>
      </c>
      <c r="F66" s="10">
        <v>5000</v>
      </c>
      <c r="G66" s="10" t="b">
        <v>0</v>
      </c>
      <c r="H66" s="10">
        <v>0</v>
      </c>
      <c r="I66" s="10" t="s">
        <v>14</v>
      </c>
      <c r="J66" s="10">
        <v>805.21180000000095</v>
      </c>
      <c r="K66" s="4"/>
      <c r="L66" s="4"/>
      <c r="M66" s="11">
        <f t="shared" si="14"/>
        <v>0</v>
      </c>
      <c r="N66" s="11" t="str">
        <f t="shared" si="15"/>
        <v/>
      </c>
      <c r="O66" s="11" t="str">
        <f>IF(B66="CLOTHOID",IF(I66=TRUE,-clothoidx(H66,M66-J66),clothoidx(H66,M66)),"")</f>
        <v/>
      </c>
      <c r="P66" s="11" t="str">
        <f>IF(B66="CLOTHOID",IF(I66=TRUE,clothoidy(H66,M66-J66),clothoidy(H66,M66))*IF(G66=TRUE,-1,1),"")</f>
        <v/>
      </c>
      <c r="Q66" s="11" t="str">
        <f t="shared" si="16"/>
        <v/>
      </c>
      <c r="R66" s="11" t="str">
        <f t="shared" si="17"/>
        <v/>
      </c>
      <c r="S66" s="11" t="str">
        <f>IF(B66="CLOTHOID",IF(I66=TRUE,clothoidx(H66,M66),-clothoidx(H66,M66-J66)),"")</f>
        <v/>
      </c>
      <c r="T66" s="11" t="str">
        <f>IF(B66="CLOTHOID",IF(I66=TRUE,clothoidy(H66,M66),clothoidy(H66,M66-J66))*IF(G66=TRUE,1,-1),"")</f>
        <v/>
      </c>
      <c r="V66" s="9">
        <f t="shared" si="18"/>
        <v>5000</v>
      </c>
      <c r="W66" s="9">
        <f t="shared" si="19"/>
        <v>0.16104236000000019</v>
      </c>
      <c r="X66" s="9">
        <f t="shared" si="20"/>
        <v>-3.1422640332051039</v>
      </c>
      <c r="Y66" s="9">
        <f t="shared" si="21"/>
        <v>58378.790314175589</v>
      </c>
      <c r="Z66" s="9">
        <f t="shared" si="22"/>
        <v>627757.30138444202</v>
      </c>
      <c r="AB66" s="21">
        <f t="shared" si="23"/>
        <v>5000</v>
      </c>
      <c r="AC66" s="22">
        <f t="shared" si="24"/>
        <v>0</v>
      </c>
      <c r="AD66" s="22">
        <f t="shared" si="25"/>
        <v>-1.9563442037906498E-5</v>
      </c>
      <c r="AE66" s="23">
        <f t="shared" si="26"/>
        <v>4.4311047531664371E-4</v>
      </c>
    </row>
    <row r="67" spans="1:31" x14ac:dyDescent="0.2">
      <c r="A67">
        <f t="shared" si="13"/>
        <v>18169.307199999999</v>
      </c>
      <c r="B67" s="10" t="s">
        <v>22</v>
      </c>
      <c r="C67" s="10">
        <v>58378.790200000003</v>
      </c>
      <c r="D67" s="10">
        <v>627757.30180000002</v>
      </c>
      <c r="E67" s="10">
        <v>-3.1422646732051032</v>
      </c>
      <c r="F67" s="10">
        <v>4700</v>
      </c>
      <c r="G67" s="10" t="b">
        <v>0</v>
      </c>
      <c r="H67" s="10">
        <v>0</v>
      </c>
      <c r="I67" s="10" t="s">
        <v>14</v>
      </c>
      <c r="J67" s="10">
        <v>879.27260000000024</v>
      </c>
      <c r="K67" s="4"/>
      <c r="L67" s="4"/>
      <c r="M67" s="11">
        <f t="shared" si="14"/>
        <v>0</v>
      </c>
      <c r="N67" s="11" t="str">
        <f t="shared" si="15"/>
        <v/>
      </c>
      <c r="O67" s="11" t="str">
        <f>IF(B67="CLOTHOID",IF(I67=TRUE,-clothoidx(H67,M67-J67),clothoidx(H67,M67)),"")</f>
        <v/>
      </c>
      <c r="P67" s="11" t="str">
        <f>IF(B67="CLOTHOID",IF(I67=TRUE,clothoidy(H67,M67-J67),clothoidy(H67,M67))*IF(G67=TRUE,-1,1),"")</f>
        <v/>
      </c>
      <c r="Q67" s="11" t="str">
        <f t="shared" si="16"/>
        <v/>
      </c>
      <c r="R67" s="11" t="str">
        <f t="shared" si="17"/>
        <v/>
      </c>
      <c r="S67" s="11" t="str">
        <f>IF(B67="CLOTHOID",IF(I67=TRUE,clothoidx(H67,M67),-clothoidx(H67,M67-J67)),"")</f>
        <v/>
      </c>
      <c r="T67" s="11" t="str">
        <f>IF(B67="CLOTHOID",IF(I67=TRUE,clothoidy(H67,M67),clothoidy(H67,M67-J67))*IF(G67=TRUE,1,-1),"")</f>
        <v/>
      </c>
      <c r="V67" s="9">
        <f t="shared" si="18"/>
        <v>4700</v>
      </c>
      <c r="W67" s="9">
        <f t="shared" si="19"/>
        <v>0.18707927659574472</v>
      </c>
      <c r="X67" s="9">
        <f t="shared" si="20"/>
        <v>-3.3293439498008479</v>
      </c>
      <c r="Y67" s="9">
        <f t="shared" si="21"/>
        <v>57504.692833287481</v>
      </c>
      <c r="Z67" s="9">
        <f t="shared" si="22"/>
        <v>627839.89647241682</v>
      </c>
      <c r="AB67" s="21">
        <f t="shared" si="23"/>
        <v>-300</v>
      </c>
      <c r="AC67" s="22">
        <f t="shared" si="24"/>
        <v>-6.3999999921904305E-7</v>
      </c>
      <c r="AD67" s="22">
        <f t="shared" si="25"/>
        <v>-1.1417558562243357E-4</v>
      </c>
      <c r="AE67" s="23">
        <f t="shared" si="26"/>
        <v>4.1555799543857574E-4</v>
      </c>
    </row>
    <row r="68" spans="1:31" x14ac:dyDescent="0.2">
      <c r="A68">
        <f t="shared" si="13"/>
        <v>19048.5798</v>
      </c>
      <c r="B68" s="10" t="s">
        <v>20</v>
      </c>
      <c r="C68" s="10">
        <v>57504.692799999997</v>
      </c>
      <c r="D68" s="10">
        <v>627839.89630000002</v>
      </c>
      <c r="E68" s="10">
        <v>-3.3293436732051038</v>
      </c>
      <c r="F68" s="10">
        <v>0</v>
      </c>
      <c r="G68" s="10" t="b">
        <v>0</v>
      </c>
      <c r="H68" s="10">
        <v>0</v>
      </c>
      <c r="I68" s="10" t="s">
        <v>14</v>
      </c>
      <c r="J68" s="10">
        <v>36.414100000001781</v>
      </c>
      <c r="K68" s="4"/>
      <c r="L68" s="4"/>
      <c r="M68" s="11">
        <f t="shared" si="14"/>
        <v>0</v>
      </c>
      <c r="N68" s="11" t="str">
        <f t="shared" ref="N68:N72" si="27">IF(I68=TRUE,IF(F68=0,E68,X68-M68*M68/(H68*H68*2)*IF(G68=TRUE,1,-1)),IF(I68=FALSE,IF(V68=0,X68,E68+M68*M68/(H68*H68*2)*IF(G68=TRUE,1,-1)),""))</f>
        <v/>
      </c>
      <c r="O68" s="11" t="str">
        <f>IF(B68="CLOTHOID",IF(I68=TRUE,-clothoidx(H68,M68-J68),clothoidx(H68,M68)),"")</f>
        <v/>
      </c>
      <c r="P68" s="11" t="str">
        <f>IF(B68="CLOTHOID",IF(I68=TRUE,clothoidy(H68,M68-J68),clothoidy(H68,M68))*IF(G68=TRUE,-1,1),"")</f>
        <v/>
      </c>
      <c r="Q68" s="11" t="str">
        <f t="shared" ref="Q68:Q72" si="28">IF(B68="CLOTHOID",C68+O68*COS(N68)-P68*SIN(N68),"")</f>
        <v/>
      </c>
      <c r="R68" s="11" t="str">
        <f t="shared" si="17"/>
        <v/>
      </c>
      <c r="S68" s="11" t="str">
        <f>IF(B68="CLOTHOID",IF(I68=TRUE,clothoidx(H68,M68),-clothoidx(H68,M68-J68)),"")</f>
        <v/>
      </c>
      <c r="T68" s="11" t="str">
        <f>IF(B68="CLOTHOID",IF(I68=TRUE,clothoidy(H68,M68),clothoidy(H68,M68-J68))*IF(G68=TRUE,1,-1),"")</f>
        <v/>
      </c>
      <c r="V68" s="9">
        <f t="shared" si="18"/>
        <v>0</v>
      </c>
      <c r="W68" s="9">
        <f t="shared" si="19"/>
        <v>0</v>
      </c>
      <c r="X68" s="9">
        <f t="shared" ref="X68:X72" si="29">E68+W68*IF(G68=TRUE,1,-1)</f>
        <v>-3.3293436732051038</v>
      </c>
      <c r="Y68" s="9">
        <f t="shared" si="21"/>
        <v>57468.918623504433</v>
      </c>
      <c r="Z68" s="9">
        <f t="shared" si="22"/>
        <v>627846.6929885227</v>
      </c>
      <c r="AB68" s="21">
        <f t="shared" si="23"/>
        <v>-4700</v>
      </c>
      <c r="AC68" s="22">
        <f t="shared" si="24"/>
        <v>2.7659574408644971E-7</v>
      </c>
      <c r="AD68" s="22">
        <f t="shared" si="25"/>
        <v>-3.3287484257016331E-5</v>
      </c>
      <c r="AE68" s="23">
        <f t="shared" si="26"/>
        <v>-1.7241679597645998E-4</v>
      </c>
    </row>
    <row r="69" spans="1:31" x14ac:dyDescent="0.2">
      <c r="A69">
        <f t="shared" si="13"/>
        <v>19084.993900000001</v>
      </c>
      <c r="B69" s="10" t="s">
        <v>22</v>
      </c>
      <c r="C69" s="10">
        <v>57468.918700000002</v>
      </c>
      <c r="D69" s="10">
        <v>627846.69299999997</v>
      </c>
      <c r="E69" s="10">
        <v>-3.3293436732051038</v>
      </c>
      <c r="F69" s="10">
        <v>4844.5402000000004</v>
      </c>
      <c r="G69" s="10" t="b">
        <v>0</v>
      </c>
      <c r="H69" s="10">
        <v>0</v>
      </c>
      <c r="I69" s="10" t="s">
        <v>14</v>
      </c>
      <c r="J69" s="10">
        <v>1188.2613999999994</v>
      </c>
      <c r="K69" s="4"/>
      <c r="L69" s="4"/>
      <c r="M69" s="11">
        <f t="shared" si="14"/>
        <v>0</v>
      </c>
      <c r="N69" s="11" t="str">
        <f t="shared" si="27"/>
        <v/>
      </c>
      <c r="O69" s="11" t="str">
        <f>IF(B69="CLOTHOID",IF(I69=TRUE,-clothoidx(H69,M69-J69),clothoidx(H69,M69)),"")</f>
        <v/>
      </c>
      <c r="P69" s="11" t="str">
        <f>IF(B69="CLOTHOID",IF(I69=TRUE,clothoidy(H69,M69-J69),clothoidy(H69,M69))*IF(G69=TRUE,-1,1),"")</f>
        <v/>
      </c>
      <c r="Q69" s="11" t="str">
        <f t="shared" si="28"/>
        <v/>
      </c>
      <c r="R69" s="11" t="str">
        <f t="shared" si="17"/>
        <v/>
      </c>
      <c r="S69" s="11" t="str">
        <f>IF(B69="CLOTHOID",IF(I69=TRUE,clothoidx(H69,M69),-clothoidx(H69,M69-J69)),"")</f>
        <v/>
      </c>
      <c r="T69" s="11" t="str">
        <f>IF(B69="CLOTHOID",IF(I69=TRUE,clothoidy(H69,M69),clothoidy(H69,M69-J69))*IF(G69=TRUE,1,-1),"")</f>
        <v/>
      </c>
      <c r="V69" s="9">
        <f t="shared" si="18"/>
        <v>4844.5402000000004</v>
      </c>
      <c r="W69" s="9">
        <f t="shared" si="19"/>
        <v>0.24527846832605482</v>
      </c>
      <c r="X69" s="9">
        <f t="shared" si="29"/>
        <v>-3.5746221415311585</v>
      </c>
      <c r="Y69" s="9">
        <f t="shared" si="21"/>
        <v>56340.273210178202</v>
      </c>
      <c r="Z69" s="9">
        <f t="shared" si="22"/>
        <v>628208.71490806714</v>
      </c>
      <c r="AB69" s="21">
        <f t="shared" si="23"/>
        <v>4844.5402000000004</v>
      </c>
      <c r="AC69" s="22">
        <f t="shared" si="24"/>
        <v>0</v>
      </c>
      <c r="AD69" s="22">
        <f t="shared" si="25"/>
        <v>7.6495569373946637E-5</v>
      </c>
      <c r="AE69" s="23">
        <f t="shared" si="26"/>
        <v>1.1477270163595676E-5</v>
      </c>
    </row>
    <row r="70" spans="1:31" x14ac:dyDescent="0.2">
      <c r="A70">
        <f t="shared" ref="A70:A72" si="30">A69+J69</f>
        <v>20273.255300000001</v>
      </c>
      <c r="B70" s="10" t="s">
        <v>20</v>
      </c>
      <c r="C70" s="10">
        <v>56340.273300000001</v>
      </c>
      <c r="D70" s="10">
        <v>628208.71510000003</v>
      </c>
      <c r="E70" s="10">
        <v>-3.5746226732051039</v>
      </c>
      <c r="F70" s="10">
        <v>0</v>
      </c>
      <c r="G70" s="10" t="b">
        <v>0</v>
      </c>
      <c r="H70" s="10">
        <v>0</v>
      </c>
      <c r="I70" s="10" t="s">
        <v>14</v>
      </c>
      <c r="J70" s="10">
        <v>142.68100000000049</v>
      </c>
      <c r="K70" s="4"/>
      <c r="L70" s="4"/>
      <c r="M70" s="11">
        <f t="shared" si="14"/>
        <v>0</v>
      </c>
      <c r="N70" s="11" t="str">
        <f t="shared" si="27"/>
        <v/>
      </c>
      <c r="O70" s="11" t="str">
        <f>IF(B70="CLOTHOID",IF(I70=TRUE,-clothoidx(H70,M70-J70),clothoidx(H70,M70)),"")</f>
        <v/>
      </c>
      <c r="P70" s="11" t="str">
        <f>IF(B70="CLOTHOID",IF(I70=TRUE,clothoidy(H70,M70-J70),clothoidy(H70,M70))*IF(G70=TRUE,-1,1),"")</f>
        <v/>
      </c>
      <c r="Q70" s="11" t="str">
        <f t="shared" si="28"/>
        <v/>
      </c>
      <c r="R70" s="11" t="str">
        <f t="shared" si="17"/>
        <v/>
      </c>
      <c r="S70" s="11" t="str">
        <f>IF(B70="CLOTHOID",IF(I70=TRUE,clothoidx(H70,M70),-clothoidx(H70,M70-J70)),"")</f>
        <v/>
      </c>
      <c r="T70" s="11" t="str">
        <f>IF(B70="CLOTHOID",IF(I70=TRUE,clothoidy(H70,M70),clothoidy(H70,M70-J70))*IF(G70=TRUE,1,-1),"")</f>
        <v/>
      </c>
      <c r="V70" s="9">
        <f t="shared" si="18"/>
        <v>0</v>
      </c>
      <c r="W70" s="9">
        <f t="shared" si="19"/>
        <v>0</v>
      </c>
      <c r="X70" s="9">
        <f t="shared" si="29"/>
        <v>-3.5746226732051039</v>
      </c>
      <c r="Y70" s="9">
        <f t="shared" si="21"/>
        <v>56210.761977129296</v>
      </c>
      <c r="Z70" s="9">
        <f t="shared" si="22"/>
        <v>628268.58733905351</v>
      </c>
      <c r="AB70" s="21">
        <f t="shared" si="23"/>
        <v>-4844.5402000000004</v>
      </c>
      <c r="AC70" s="22">
        <f t="shared" si="24"/>
        <v>-5.3167394531428158E-7</v>
      </c>
      <c r="AD70" s="22">
        <f t="shared" si="25"/>
        <v>8.9821798610500991E-5</v>
      </c>
      <c r="AE70" s="23">
        <f t="shared" si="26"/>
        <v>1.9193289335817099E-4</v>
      </c>
    </row>
    <row r="71" spans="1:31" x14ac:dyDescent="0.2">
      <c r="A71">
        <f t="shared" si="30"/>
        <v>20415.936300000001</v>
      </c>
      <c r="B71" s="10" t="s">
        <v>21</v>
      </c>
      <c r="C71" s="10">
        <v>56210.761899999998</v>
      </c>
      <c r="D71" s="10">
        <v>628268.58730000001</v>
      </c>
      <c r="E71" s="10">
        <v>-3.5746226732051039</v>
      </c>
      <c r="F71" s="10">
        <v>0</v>
      </c>
      <c r="G71" s="10" t="b">
        <v>1</v>
      </c>
      <c r="H71" s="10">
        <v>353.76345204104962</v>
      </c>
      <c r="I71" s="10" t="b">
        <v>1</v>
      </c>
      <c r="J71" s="10">
        <v>75</v>
      </c>
      <c r="K71" s="4"/>
      <c r="L71" s="4"/>
      <c r="M71" s="11">
        <f t="shared" si="14"/>
        <v>75</v>
      </c>
      <c r="N71" s="11">
        <f t="shared" si="27"/>
        <v>-3.5746226732051039</v>
      </c>
      <c r="O71" s="11">
        <f>IF(B71="CLOTHOID",IF(I71=TRUE,-clothoidx(H71,M71-J71),clothoidx(H71,M71)),"")</f>
        <v>0</v>
      </c>
      <c r="P71" s="11">
        <f>IF(B71="CLOTHOID",IF(I71=TRUE,clothoidy(H71,M71-J71),clothoidy(H71,M71))*IF(G71=TRUE,-1,1),"")</f>
        <v>0</v>
      </c>
      <c r="Q71" s="11">
        <f t="shared" si="28"/>
        <v>56210.761899999998</v>
      </c>
      <c r="R71" s="11">
        <f t="shared" si="17"/>
        <v>628268.58730000001</v>
      </c>
      <c r="S71" s="11">
        <f>IF(B71="CLOTHOID",IF(I71=TRUE,clothoidx(H71,M71),-clothoidx(H71,M71-J71)),"")</f>
        <v>74.99621222373446</v>
      </c>
      <c r="T71" s="11">
        <f>IF(B71="CLOTHOID",IF(I71=TRUE,clothoidy(H71,M71),clothoidy(H71,M71-J71))*IF(G71=TRUE,1,-1),"")</f>
        <v>0.56181191607712933</v>
      </c>
      <c r="V71" s="9">
        <f t="shared" si="18"/>
        <v>1668.6477333333335</v>
      </c>
      <c r="W71" s="9">
        <f t="shared" si="19"/>
        <v>2.2473287351722247E-2</v>
      </c>
      <c r="X71" s="9">
        <f t="shared" si="29"/>
        <v>-3.5521493858533817</v>
      </c>
      <c r="Y71" s="9">
        <f t="shared" si="21"/>
        <v>56142.452204996946</v>
      </c>
      <c r="Z71" s="9">
        <f t="shared" si="22"/>
        <v>628299.54748490138</v>
      </c>
      <c r="AB71" s="21">
        <f t="shared" si="23"/>
        <v>0</v>
      </c>
      <c r="AC71" s="22">
        <f t="shared" si="24"/>
        <v>0</v>
      </c>
      <c r="AD71" s="22">
        <f t="shared" si="25"/>
        <v>-7.7129298006184399E-5</v>
      </c>
      <c r="AE71" s="23">
        <f t="shared" si="26"/>
        <v>-3.9053498767316341E-5</v>
      </c>
    </row>
    <row r="72" spans="1:31" ht="13.5" thickBot="1" x14ac:dyDescent="0.25">
      <c r="A72">
        <f t="shared" si="30"/>
        <v>20490.936300000001</v>
      </c>
      <c r="B72" s="10" t="s">
        <v>22</v>
      </c>
      <c r="C72" s="10">
        <v>56142.4522</v>
      </c>
      <c r="D72" s="10">
        <v>628299.54749999999</v>
      </c>
      <c r="E72" s="10">
        <v>-3.5521486732051031</v>
      </c>
      <c r="F72" s="10">
        <v>1668.6477</v>
      </c>
      <c r="G72" s="10" t="b">
        <v>1</v>
      </c>
      <c r="H72" s="10">
        <v>0</v>
      </c>
      <c r="I72" s="10" t="s">
        <v>14</v>
      </c>
      <c r="J72" s="10">
        <v>358.35479999999734</v>
      </c>
      <c r="K72" s="4"/>
      <c r="L72" s="4"/>
      <c r="M72" s="11">
        <f t="shared" si="14"/>
        <v>0</v>
      </c>
      <c r="N72" s="11" t="str">
        <f t="shared" si="27"/>
        <v/>
      </c>
      <c r="O72" s="11" t="str">
        <f>IF(B72="CLOTHOID",IF(I72=TRUE,-clothoidx(H72,M72-J72),clothoidx(H72,M72)),"")</f>
        <v/>
      </c>
      <c r="P72" s="11" t="str">
        <f>IF(B72="CLOTHOID",IF(I72=TRUE,clothoidy(H72,M72-J72),clothoidy(H72,M72))*IF(G72=TRUE,-1,1),"")</f>
        <v/>
      </c>
      <c r="Q72" s="11" t="str">
        <f t="shared" si="28"/>
        <v/>
      </c>
      <c r="R72" s="11" t="str">
        <f t="shared" si="17"/>
        <v/>
      </c>
      <c r="S72" s="11" t="str">
        <f>IF(B72="CLOTHOID",IF(I72=TRUE,clothoidx(H72,M72),-clothoidx(H72,M72-J72)),"")</f>
        <v/>
      </c>
      <c r="T72" s="11" t="str">
        <f>IF(B72="CLOTHOID",IF(I72=TRUE,clothoidy(H72,M72),clothoidy(H72,M72-J72))*IF(G72=TRUE,1,-1),"")</f>
        <v/>
      </c>
      <c r="V72" s="9">
        <f t="shared" si="18"/>
        <v>1668.6477</v>
      </c>
      <c r="W72" s="9">
        <f t="shared" si="19"/>
        <v>0.21475761480389022</v>
      </c>
      <c r="X72" s="9">
        <f t="shared" si="29"/>
        <v>-3.337391058401213</v>
      </c>
      <c r="Y72" s="9">
        <f t="shared" si="21"/>
        <v>55801.097845739452</v>
      </c>
      <c r="Z72" s="9">
        <f t="shared" si="22"/>
        <v>628406.33028395451</v>
      </c>
      <c r="AB72" s="24">
        <f t="shared" si="23"/>
        <v>-3.3333333476548432E-5</v>
      </c>
      <c r="AC72" s="25">
        <f t="shared" si="24"/>
        <v>7.126482786112831E-7</v>
      </c>
      <c r="AD72" s="25">
        <f t="shared" si="25"/>
        <v>-4.9969457904808223E-6</v>
      </c>
      <c r="AE72" s="26">
        <f t="shared" si="26"/>
        <v>1.5098601579666138E-5</v>
      </c>
    </row>
    <row r="73" spans="1:31" x14ac:dyDescent="0.2">
      <c r="B73" s="10" t="s">
        <v>21</v>
      </c>
      <c r="C73">
        <v>6713.9901870866097</v>
      </c>
      <c r="D73">
        <v>4209.7091046471296</v>
      </c>
      <c r="E73">
        <v>0.35641937076944302</v>
      </c>
      <c r="F73" s="10">
        <v>0</v>
      </c>
      <c r="G73" s="10" t="b">
        <v>0</v>
      </c>
      <c r="H73">
        <v>155.274276352529</v>
      </c>
      <c r="I73" t="b">
        <v>1</v>
      </c>
      <c r="J73" s="10">
        <v>200</v>
      </c>
      <c r="M73" s="11">
        <f t="shared" ref="M73" si="31">IF(I73=FALSE,H73*H73/F73,IF(I73=TRUE,IF(F73&lt;&gt;0,H73*H73/F73+J73,J73),0))</f>
        <v>200</v>
      </c>
      <c r="N73" s="11">
        <f t="shared" ref="N73" si="32">IF(I73=TRUE,IF(F73=0,E73,X73-M73*M73/(H73*H73*2)*IF(G73=TRUE,1,-1)),IF(I73=FALSE,IF(V73=0,X73,E73+M73*M73/(H73*H73*2)*IF(G73=TRUE,1,-1)),""))</f>
        <v>0.35641937076944302</v>
      </c>
      <c r="O73" s="11">
        <f>IF(B73="CLOTHOID",IF(I73=TRUE,-clothoidx(H73,M73-J73),clothoidx(H73,M73)),"")</f>
        <v>0</v>
      </c>
      <c r="P73" s="11">
        <f>IF(B73="CLOTHOID",IF(I73=TRUE,clothoidy(H73,M73-J73),clothoidy(H73,M73))*IF(G73=TRUE,-1,1),"")</f>
        <v>0</v>
      </c>
      <c r="Q73" s="11">
        <f t="shared" ref="Q73" si="33">IF(B73="CLOTHOID",C73+O73*COS(N73)-P73*SIN(N73),"")</f>
        <v>6713.9901870866097</v>
      </c>
      <c r="R73" s="11">
        <f t="shared" ref="R73" si="34">IF(B73="CLOTHOID",D73+O73*SIN(N73)+P73*COS(N73),"")</f>
        <v>4209.7091046471296</v>
      </c>
      <c r="S73" s="11">
        <f>IF(B73="CLOTHOID",IF(I73=TRUE,clothoidx(H73,M73),-clothoidx(H73,M73-J73)),"")</f>
        <v>186.66920391249846</v>
      </c>
      <c r="T73" s="11">
        <f>IF(B73="CLOTHOID",IF(I73=TRUE,clothoidy(H73,M73),clothoidy(H73,M73-J73))*IF(G73=TRUE,1,-1),"")</f>
        <v>-52.642508245842556</v>
      </c>
      <c r="V73" s="9">
        <f t="shared" ref="V73" si="35">IF(B73="ARC",F73,IF(I73=TRUE,H73*H73/M73,IF(I73=FALSE,IF(ABS(M73-J73)&lt;$AD$1,0,H73*H73/(M73-J73)),0)))</f>
        <v>120.55050448400772</v>
      </c>
      <c r="W73" s="9">
        <f t="shared" ref="W73" si="36">IF(B73="STRAIGHT",0,IF(B73="ARC",J73/F73,IF(B73="CLOTHOID",(J73*(2*M73-J73)/(2*H73*H73)),"UNDEFINED")))</f>
        <v>0.82952784335519758</v>
      </c>
      <c r="X73" s="9">
        <f t="shared" ref="X73" si="37">E73+W73*IF(G73=TRUE,1,-1)</f>
        <v>-0.47310847258575456</v>
      </c>
      <c r="Y73" s="9">
        <f t="shared" ref="Y73" si="38">IF(B73="STRAIGHT",J73*COS(E73)+C73,IF(B73="ARC",2*F73*SIN(W73/2)*COS(W73/2*IF(G73=TRUE,1,-1)+E73)+C73,Q73+S73*COS(N73)-T73*SIN(N73)))</f>
        <v>6907.2957098271372</v>
      </c>
      <c r="Z73" s="9">
        <f t="shared" ref="Z73" si="39">IF(B73="STRAIGHT",J73*SIN(E73)+D73,IF(B73="ARC",2*F73*SIN(W73/2)*SIN(W73/2*IF(G73=TRUE,1,-1)+E73)+D73,R73+S73*SIN(N73)+T73*COS(N73)))</f>
        <v>4225.5078464245898</v>
      </c>
      <c r="AB73" s="21">
        <f t="shared" ref="AB73" si="40">F73-V72</f>
        <v>-1668.6477</v>
      </c>
      <c r="AC73" s="22">
        <f t="shared" ref="AC73" si="41">E73-X72</f>
        <v>3.6938104291706559</v>
      </c>
      <c r="AD73" s="22">
        <f t="shared" ref="AD73" si="42">C73-Y72</f>
        <v>-49087.107658652843</v>
      </c>
      <c r="AE73" s="23">
        <f t="shared" ref="AE73" si="43">D73-Z72</f>
        <v>-624196.62117930735</v>
      </c>
    </row>
    <row r="74" spans="1:31" x14ac:dyDescent="0.2">
      <c r="B74" s="10" t="s">
        <v>21</v>
      </c>
      <c r="C74" s="10">
        <v>6267.45543262501</v>
      </c>
      <c r="D74" s="10">
        <v>4611.4623285381304</v>
      </c>
      <c r="E74">
        <v>0.46124278553716802</v>
      </c>
      <c r="F74" s="10">
        <v>287.57755109486101</v>
      </c>
      <c r="G74" s="10" t="b">
        <v>0</v>
      </c>
      <c r="H74" s="33">
        <v>437.89086267189703</v>
      </c>
      <c r="I74" t="b">
        <v>0</v>
      </c>
      <c r="J74" s="33">
        <v>666.77112619367006</v>
      </c>
      <c r="M74" s="11">
        <f t="shared" ref="M74" si="44">IF(I74=FALSE,H74*H74/F74,IF(I74=TRUE,IF(F74&lt;&gt;0,H74*H74/F74+J74,J74),0))</f>
        <v>666.77112619367017</v>
      </c>
      <c r="N74" s="11">
        <f t="shared" ref="N74" si="45">IF(I74=TRUE,IF(F74=0,E74,X74-M74*M74/(H74*H74*2)*IF(G74=TRUE,1,-1)),IF(I74=FALSE,IF(V74=0,X74,E74+M74*M74/(H74*H74*2)*IF(G74=TRUE,1,-1)),""))</f>
        <v>-0.69804646297188466</v>
      </c>
      <c r="O74" s="11">
        <f>IF(B74="CLOTHOID",IF(I74=TRUE,-clothoidx(H74,M74-J74),clothoidx(H74,M74)),"")</f>
        <v>582.56611219380738</v>
      </c>
      <c r="P74" s="11">
        <f>IF(B74="CLOTHOID",IF(I74=TRUE,clothoidy(H74,M74-J74),clothoidy(H74,M74))*IF(G74=TRUE,-1,1),"")</f>
        <v>233.95895245168936</v>
      </c>
      <c r="Q74" s="11">
        <f t="shared" ref="Q74" si="46">IF(B74="CLOTHOID",C74+O74*COS(N74)-P74*SIN(N74),"")</f>
        <v>6864.129521380557</v>
      </c>
      <c r="R74" s="11">
        <f t="shared" ref="R74" si="47">IF(B74="CLOTHOID",D74+O74*SIN(N74)+P74*COS(N74),"")</f>
        <v>4416.269863733165</v>
      </c>
      <c r="S74" s="11">
        <f>IF(B74="CLOTHOID",IF(I74=TRUE,clothoidx(H74,M74),-clothoidx(H74,M74-J74)),"")</f>
        <v>-1.1368683772161603E-13</v>
      </c>
      <c r="T74" s="11">
        <f>IF(B74="CLOTHOID",IF(I74=TRUE,clothoidy(H74,M74),clothoidy(H74,M74-J74))*IF(G74=TRUE,1,-1),"")</f>
        <v>-1.2771665719250213E-45</v>
      </c>
      <c r="V74" s="9">
        <f t="shared" ref="V74" si="48">IF(B74="ARC",F74,IF(I74=TRUE,H74*H74/M74,IF(I74=FALSE,IF(ABS(M74-J74)&lt;$AD$1,0,H74*H74/(M74-J74)),0)))</f>
        <v>0</v>
      </c>
      <c r="W74" s="9">
        <f t="shared" ref="W74" si="49">IF(B74="STRAIGHT",0,IF(B74="ARC",J74/F74,IF(B74="CLOTHOID",(J74*(2*M74-J74)/(2*H74*H74)),"UNDEFINED")))</f>
        <v>1.1592892485090527</v>
      </c>
      <c r="X74" s="9">
        <f t="shared" ref="X74" si="50">E74+W74*IF(G74=TRUE,1,-1)</f>
        <v>-0.69804646297188466</v>
      </c>
      <c r="Y74" s="9">
        <f t="shared" ref="Y74" si="51">IF(B74="STRAIGHT",J74*COS(E74)+C74,IF(B74="ARC",2*F74*SIN(W74/2)*COS(W74/2*IF(G74=TRUE,1,-1)+E74)+C74,Q74+S74*COS(N74)-T74*SIN(N74)))</f>
        <v>6864.129521380557</v>
      </c>
      <c r="Z74" s="9">
        <f t="shared" ref="Z74" si="52">IF(B74="STRAIGHT",J74*SIN(E74)+D74,IF(B74="ARC",2*F74*SIN(W74/2)*SIN(W74/2*IF(G74=TRUE,1,-1)+E74)+D74,R74+S74*SIN(N74)+T74*COS(N74)))</f>
        <v>4416.269863733165</v>
      </c>
      <c r="AB74" s="21">
        <f t="shared" ref="AB74" si="53">F74-V73</f>
        <v>167.02704661085329</v>
      </c>
      <c r="AC74" s="22">
        <f t="shared" ref="AC74" si="54">E74-X73</f>
        <v>0.93435125812292252</v>
      </c>
      <c r="AD74" s="22">
        <f t="shared" ref="AD74" si="55">C74-Y73</f>
        <v>-639.84027720212725</v>
      </c>
      <c r="AE74" s="23">
        <f t="shared" ref="AE74" si="56">D74-Z73</f>
        <v>385.95448211354051</v>
      </c>
    </row>
    <row r="75" spans="1:31" x14ac:dyDescent="0.2">
      <c r="B75" s="10" t="s">
        <v>21</v>
      </c>
      <c r="C75" s="10">
        <v>4510067.6364000002</v>
      </c>
      <c r="D75" s="10">
        <v>5401572.4968999904</v>
      </c>
      <c r="E75" s="10">
        <v>4.9425293740157699</v>
      </c>
      <c r="F75" s="10">
        <v>1200</v>
      </c>
      <c r="G75" s="10" t="b">
        <v>1</v>
      </c>
      <c r="H75" s="10">
        <v>999.99996153845996</v>
      </c>
      <c r="I75" s="10" t="b">
        <v>0</v>
      </c>
      <c r="J75" s="10">
        <v>433.33330000000001</v>
      </c>
      <c r="M75" s="11">
        <f t="shared" ref="M75:M76" si="57">IF(I75=FALSE,H75*H75/F75,IF(I75=TRUE,IF(F75&lt;&gt;0,H75*H75/F75+J75,J75),0))</f>
        <v>833.33326923076777</v>
      </c>
      <c r="N75" s="11">
        <f t="shared" ref="N75:N76" si="58">IF(I75=TRUE,IF(F75=0,E75,X75-M75*M75/(H75*H75*2)*IF(G75=TRUE,1,-1)),IF(I75=FALSE,IF(V75=0,X75,E75+M75*M75/(H75*H75*2)*IF(G75=TRUE,1,-1)),""))</f>
        <v>5.2897515695285895</v>
      </c>
      <c r="O75" s="11">
        <f>IF(B75="CLOTHOID",IF(I75=TRUE,-clothoidx(H75,M75-J75),clothoidx(H75,M75)),"")</f>
        <v>823.34225478888766</v>
      </c>
      <c r="P75" s="11">
        <f>IF(B75="CLOTHOID",IF(I75=TRUE,clothoidy(H75,M75-J75),clothoidy(H75,M75))*IF(G75=TRUE,-1,1),"")</f>
        <v>-95.623182129061476</v>
      </c>
      <c r="Q75" s="11">
        <f t="shared" ref="Q75" si="59">IF(B75="CLOTHOID",C75+O75*COS(N75)-P75*SIN(N75),"")</f>
        <v>4510436.9065725161</v>
      </c>
      <c r="R75" s="11">
        <f t="shared" ref="R75" si="60">IF(B75="CLOTHOID",D75+O75*SIN(N75)+P75*COS(N75),"")</f>
        <v>5400830.421566098</v>
      </c>
      <c r="S75" s="11">
        <f>IF(B75="CLOTHOID",IF(I75=TRUE,clothoidx(H75,M75),-clothoidx(H75,M75-J75)),"")</f>
        <v>-399.74404514166736</v>
      </c>
      <c r="T75" s="11">
        <f>IF(B75="CLOTHOID",IF(I75=TRUE,clothoidy(H75,M75),clothoidy(H75,M75-J75))*IF(G75=TRUE,1,-1),"")</f>
        <v>10.661789829634403</v>
      </c>
      <c r="V75" s="9">
        <f t="shared" ref="V75:V76" si="61">IF(B75="ARC",F75,IF(I75=TRUE,H75*H75/M75,IF(I75=FALSE,IF(ABS(M75-J75)&lt;$AD$1,0,H75*H75/(M75-J75)),0)))</f>
        <v>2500.000000000005</v>
      </c>
      <c r="W75" s="9">
        <f t="shared" ref="W75:W76" si="62">IF(B75="STRAIGHT",0,IF(B75="ARC",J75/F75,IF(B75="CLOTHOID",(J75*(2*M75-J75)/(2*H75*H75)),"UNDEFINED")))</f>
        <v>0.26722220166666649</v>
      </c>
      <c r="X75" s="9">
        <f t="shared" ref="X75:X76" si="63">E75+W75*IF(G75=TRUE,1,-1)</f>
        <v>5.2097515756824366</v>
      </c>
      <c r="Y75" s="9">
        <f t="shared" ref="Y75" si="64">IF(B75="STRAIGHT",J75*COS(E75)+C75,IF(B75="ARC",2*F75*SIN(W75/2)*COS(W75/2*IF(G75=TRUE,1,-1)+E75)+C75,Q75+S75*COS(N75)-T75*SIN(N75)))</f>
        <v>4510227.6534697991</v>
      </c>
      <c r="Z75" s="9">
        <f t="shared" ref="Z75" si="65">IF(B75="STRAIGHT",J75*SIN(E75)+D75,IF(B75="ARC",2*F75*SIN(W75/2)*SIN(W75/2*IF(G75=TRUE,1,-1)+E75)+D75,R75+S75*SIN(N75)+T75*COS(N75)))</f>
        <v>5401171.1885163616</v>
      </c>
      <c r="AB75" s="21">
        <f t="shared" ref="AB75" si="66">F75-V74</f>
        <v>1200</v>
      </c>
      <c r="AC75" s="22">
        <f t="shared" ref="AC75" si="67">E75-X74</f>
        <v>5.6405758369876544</v>
      </c>
      <c r="AD75" s="22">
        <f t="shared" ref="AD75" si="68">C75-Y74</f>
        <v>4503203.50687862</v>
      </c>
      <c r="AE75" s="23">
        <f t="shared" ref="AE75" si="69">D75-Z74</f>
        <v>5397156.2270362573</v>
      </c>
    </row>
    <row r="76" spans="1:31" x14ac:dyDescent="0.2">
      <c r="B76" s="10" t="s">
        <v>21</v>
      </c>
      <c r="C76" s="10">
        <v>7861.3690070000002</v>
      </c>
      <c r="D76" s="10">
        <v>537.72247600000003</v>
      </c>
      <c r="E76" s="10">
        <v>5.7380475130104598</v>
      </c>
      <c r="F76" s="10">
        <v>500</v>
      </c>
      <c r="G76" s="10" t="b">
        <v>1</v>
      </c>
      <c r="H76" s="10">
        <v>326.99697894145999</v>
      </c>
      <c r="I76" s="10" t="b">
        <v>1</v>
      </c>
      <c r="J76" s="10">
        <v>77.500241000000003</v>
      </c>
      <c r="M76" s="11">
        <f t="shared" si="57"/>
        <v>291.35428947368325</v>
      </c>
      <c r="N76" s="11">
        <f t="shared" si="58"/>
        <v>5.5241934645367765</v>
      </c>
      <c r="O76" s="11">
        <f>IF(B76="CLOTHOID",IF(I76=TRUE,-clothoidx(H76,M76-J76),clothoidx(H76,M76)),"")</f>
        <v>-212.8780864981866</v>
      </c>
      <c r="P76" s="11">
        <f>IF(B76="CLOTHOID",IF(I76=TRUE,clothoidy(H76,M76-J76),clothoidy(H76,M76))*IF(G76=TRUE,-1,1),"")</f>
        <v>-15.194791424579947</v>
      </c>
      <c r="Q76" s="11">
        <f t="shared" ref="Q76" si="70">IF(B76="CLOTHOID",C76+O76*COS(N76)-P76*SIN(N76),"")</f>
        <v>7696.4626210680199</v>
      </c>
      <c r="R76" s="11">
        <f t="shared" ref="R76" si="71">IF(B76="CLOTHOID",D76+O76*SIN(N76)+P76*COS(N76),"")</f>
        <v>673.19884027221747</v>
      </c>
      <c r="S76" s="11">
        <f>IF(B76="CLOTHOID",IF(I76=TRUE,clothoidx(H76,M76),-clothoidx(H76,M76-J76)),"")</f>
        <v>286.79702612971244</v>
      </c>
      <c r="T76" s="11">
        <f>IF(B76="CLOTHOID",IF(I76=TRUE,clothoidy(H76,M76),clothoidy(H76,M76-J76))*IF(G76=TRUE,1,-1),"")</f>
        <v>38.118411331818962</v>
      </c>
      <c r="V76" s="9">
        <f t="shared" ref="V76" si="72">IF(B76="ARC",F76,IF(I76=TRUE,H76*H76/M76,IF(I76=FALSE,IF(ABS(M76-J76)&lt;$AD$1,0,H76*H76/(M76-J76)),0)))</f>
        <v>366.99999999999955</v>
      </c>
      <c r="W76" s="9">
        <f t="shared" ref="W76" si="73">IF(B76="STRAIGHT",0,IF(B76="ARC",J76/F76,IF(B76="CLOTHOID",(J76*(2*M76-J76)/(2*H76*H76)),"UNDEFINED")))</f>
        <v>0.18308640040054508</v>
      </c>
      <c r="X76" s="9">
        <f t="shared" ref="X76" si="74">E76+W76*IF(G76=TRUE,1,-1)</f>
        <v>5.9211339134110048</v>
      </c>
      <c r="Y76" s="9">
        <f t="shared" ref="Y76" si="75">IF(B76="STRAIGHT",J76*COS(E76)+C76,IF(B76="ARC",2*F76*SIN(W76/2)*COS(W76/2*IF(G76=TRUE,1,-1)+E76)+C76,Q76+S76*COS(N76)-T76*SIN(N76)))</f>
        <v>7930.775242758491</v>
      </c>
      <c r="Z76" s="9">
        <f t="shared" ref="Z76" si="76">IF(B76="STRAIGHT",J76*SIN(E76)+D76,IF(B76="ARC",2*F76*SIN(W76/2)*SIN(W76/2*IF(G76=TRUE,1,-1)+E76)+D76,R76+S76*SIN(N76)+T76*COS(N76)))</f>
        <v>503.48395348898049</v>
      </c>
    </row>
    <row r="91" ht="12" customHeight="1" x14ac:dyDescent="0.2"/>
  </sheetData>
  <conditionalFormatting sqref="AC1:AC75">
    <cfRule type="cellIs" dxfId="16" priority="5" stopIfTrue="1" operator="lessThan">
      <formula>-$AC$1</formula>
    </cfRule>
    <cfRule type="cellIs" dxfId="15" priority="6" stopIfTrue="1" operator="greaterThan">
      <formula>$AC$1</formula>
    </cfRule>
  </conditionalFormatting>
  <conditionalFormatting sqref="AD1 AB3:AB75">
    <cfRule type="cellIs" dxfId="14" priority="3" stopIfTrue="1" operator="lessThan">
      <formula>-$AD$1</formula>
    </cfRule>
    <cfRule type="cellIs" dxfId="13" priority="4" stopIfTrue="1" operator="greaterThan">
      <formula>$AD$1</formula>
    </cfRule>
  </conditionalFormatting>
  <conditionalFormatting sqref="AE1 AD2:AE75">
    <cfRule type="cellIs" dxfId="12" priority="9" stopIfTrue="1" operator="lessThan">
      <formula>-$AD$1</formula>
    </cfRule>
    <cfRule type="cellIs" dxfId="11" priority="10" stopIfTrue="1" operator="greaterThan">
      <formula>$AD$1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60"/>
  <sheetViews>
    <sheetView workbookViewId="0">
      <selection activeCell="P30" sqref="P30"/>
    </sheetView>
  </sheetViews>
  <sheetFormatPr baseColWidth="10" defaultColWidth="9.140625" defaultRowHeight="12.75" x14ac:dyDescent="0.2"/>
  <cols>
    <col min="1" max="1" width="14.85546875" customWidth="1"/>
    <col min="2" max="2" width="11.140625" bestFit="1" customWidth="1"/>
    <col min="3" max="3" width="14.85546875" customWidth="1"/>
    <col min="4" max="4" width="13.42578125" customWidth="1"/>
    <col min="5" max="5" width="11.5703125" customWidth="1"/>
    <col min="6" max="6" width="14.85546875" customWidth="1"/>
    <col min="7" max="7" width="11.28515625" customWidth="1"/>
    <col min="9" max="14" width="15.5703125" customWidth="1"/>
    <col min="15" max="15" width="13" style="30" customWidth="1"/>
    <col min="16" max="16" width="13.7109375" customWidth="1"/>
    <col min="19" max="19" width="11.140625" customWidth="1"/>
    <col min="20" max="20" width="12.85546875" customWidth="1"/>
    <col min="21" max="21" width="14.5703125" customWidth="1"/>
    <col min="24" max="24" width="10" bestFit="1" customWidth="1"/>
  </cols>
  <sheetData>
    <row r="1" spans="1:25" ht="18.75" thickBot="1" x14ac:dyDescent="0.3">
      <c r="B1" s="1" t="s">
        <v>34</v>
      </c>
      <c r="C1" s="1"/>
      <c r="D1" s="1">
        <v>1000</v>
      </c>
      <c r="S1" s="27" t="s">
        <v>35</v>
      </c>
      <c r="T1" s="2">
        <v>9.9999999999999995E-7</v>
      </c>
      <c r="U1" s="1">
        <v>1E-4</v>
      </c>
    </row>
    <row r="2" spans="1:25" ht="18" x14ac:dyDescent="0.25">
      <c r="B2" s="7" t="s">
        <v>30</v>
      </c>
      <c r="C2" s="7"/>
      <c r="D2" s="7"/>
      <c r="E2" s="7"/>
      <c r="F2" s="7"/>
      <c r="G2" s="7"/>
      <c r="I2" s="28"/>
      <c r="J2" s="5" t="s">
        <v>51</v>
      </c>
      <c r="K2" s="28"/>
      <c r="L2" s="28"/>
      <c r="M2" s="28"/>
      <c r="O2" s="31" t="s">
        <v>32</v>
      </c>
      <c r="P2" s="12"/>
      <c r="Q2" s="12"/>
      <c r="S2" s="14" t="s">
        <v>33</v>
      </c>
      <c r="T2" s="15"/>
      <c r="U2" s="17"/>
    </row>
    <row r="3" spans="1:25" ht="72" x14ac:dyDescent="0.25">
      <c r="A3" s="6" t="s">
        <v>36</v>
      </c>
      <c r="B3" s="8" t="s">
        <v>15</v>
      </c>
      <c r="C3" s="8" t="s">
        <v>38</v>
      </c>
      <c r="D3" s="8" t="s">
        <v>37</v>
      </c>
      <c r="E3" s="8" t="s">
        <v>19</v>
      </c>
      <c r="F3" s="8" t="s">
        <v>42</v>
      </c>
      <c r="G3" s="8" t="s">
        <v>3</v>
      </c>
      <c r="I3" s="6" t="s">
        <v>41</v>
      </c>
      <c r="J3" s="6" t="s">
        <v>48</v>
      </c>
      <c r="K3" s="6" t="s">
        <v>46</v>
      </c>
      <c r="L3" s="6" t="s">
        <v>50</v>
      </c>
      <c r="M3" s="6" t="s">
        <v>49</v>
      </c>
      <c r="N3" s="29"/>
      <c r="O3" s="32" t="s">
        <v>40</v>
      </c>
      <c r="P3" s="13" t="s">
        <v>43</v>
      </c>
      <c r="Q3" s="13"/>
      <c r="S3" s="18"/>
      <c r="T3" s="19" t="s">
        <v>44</v>
      </c>
      <c r="U3" s="20" t="s">
        <v>45</v>
      </c>
      <c r="X3" t="s">
        <v>52</v>
      </c>
    </row>
    <row r="4" spans="1:25" x14ac:dyDescent="0.2">
      <c r="A4">
        <f>D1</f>
        <v>1000</v>
      </c>
      <c r="B4" t="s">
        <v>39</v>
      </c>
      <c r="C4">
        <v>78.433999999999997</v>
      </c>
      <c r="D4" s="30">
        <v>1.5674999999999998E-2</v>
      </c>
      <c r="E4">
        <v>50000</v>
      </c>
      <c r="F4" t="b">
        <v>1</v>
      </c>
      <c r="G4">
        <v>84.992899999999963</v>
      </c>
      <c r="I4">
        <f>IF(E4=0,0,1/E4*IF(F4=TRUE,-1,1))</f>
        <v>-2.0000000000000002E-5</v>
      </c>
      <c r="J4" t="str">
        <f>IF(B4="CIRCLE",-D4/SQRT(1+D4*D4)/I4,"")</f>
        <v/>
      </c>
      <c r="K4" t="str">
        <f>IF(B4="CIRCLE",1/(SQRT(1+D4*D4)*I4)+C4,"")</f>
        <v/>
      </c>
      <c r="L4" t="str">
        <f>IF(B4="CIRCLE",G4-J4,"")</f>
        <v/>
      </c>
      <c r="M4" t="str">
        <f>IF(B4="CIRCLE",SQRT(E4*E4-L4*L4)*SIGN(I4),"")</f>
        <v/>
      </c>
      <c r="O4" s="30">
        <f>IF(B4="CIRCLE",L4/M4,I4*G4+D4)</f>
        <v>1.3975141999999999E-2</v>
      </c>
      <c r="P4">
        <f>IF(B4="CIRCLE",K4-M4,(D4+O4)/2*G4+C4)</f>
        <v>79.6940257769959</v>
      </c>
      <c r="S4" s="21"/>
      <c r="T4" s="22"/>
      <c r="U4" s="23"/>
      <c r="X4" t="s">
        <v>47</v>
      </c>
      <c r="Y4" t="s">
        <v>39</v>
      </c>
    </row>
    <row r="5" spans="1:25" x14ac:dyDescent="0.2">
      <c r="A5">
        <f>A4+G4</f>
        <v>1084.9929</v>
      </c>
      <c r="B5" t="s">
        <v>20</v>
      </c>
      <c r="C5">
        <v>79.694000000000003</v>
      </c>
      <c r="D5" s="30">
        <v>1.3975E-2</v>
      </c>
      <c r="E5">
        <v>0</v>
      </c>
      <c r="F5" t="s">
        <v>14</v>
      </c>
      <c r="G5">
        <v>669.34640000000013</v>
      </c>
      <c r="I5">
        <f t="shared" ref="I5:I60" si="0">IF(E5=0,0,1/E5*IF(F5=TRUE,-1,1))</f>
        <v>0</v>
      </c>
      <c r="J5" t="str">
        <f t="shared" ref="J5:J60" si="1">IF(B5="CIRCLE",-D5/SQRT(1+D5*D5)/I5,"")</f>
        <v/>
      </c>
      <c r="K5" t="str">
        <f t="shared" ref="K5:K60" si="2">IF(B5="CIRCLE",1/(SQRT(1+D5*D5)*I5)+C5,"")</f>
        <v/>
      </c>
      <c r="L5" t="str">
        <f t="shared" ref="L5:L60" si="3">IF(B5="CIRCLE",G5-J5,"")</f>
        <v/>
      </c>
      <c r="M5" t="str">
        <f t="shared" ref="M5:M60" si="4">IF(B5="CIRCLE",SQRT(E5*E5-L5*L5)*SIGN(I5),"")</f>
        <v/>
      </c>
      <c r="O5" s="30">
        <f t="shared" ref="O5:O60" si="5">I5*G5+D5</f>
        <v>1.3975E-2</v>
      </c>
      <c r="P5">
        <f t="shared" ref="P5:P60" si="6">(D5+O5)/2*G5+C5</f>
        <v>89.048115940000002</v>
      </c>
      <c r="S5" s="21"/>
      <c r="T5" s="22">
        <f>D5-O4</f>
        <v>-1.4199999999985058E-7</v>
      </c>
      <c r="U5" s="23">
        <f>C5-P4</f>
        <v>-2.5776995897786037E-5</v>
      </c>
      <c r="X5" t="s">
        <v>20</v>
      </c>
      <c r="Y5" t="s">
        <v>20</v>
      </c>
    </row>
    <row r="6" spans="1:25" x14ac:dyDescent="0.2">
      <c r="A6">
        <f t="shared" ref="A6:A60" si="7">A5+G5</f>
        <v>1754.3393000000001</v>
      </c>
      <c r="B6" t="s">
        <v>39</v>
      </c>
      <c r="C6">
        <v>89.048400000000001</v>
      </c>
      <c r="D6" s="30">
        <v>1.3975E-2</v>
      </c>
      <c r="E6">
        <v>20000</v>
      </c>
      <c r="F6" t="b">
        <v>1</v>
      </c>
      <c r="G6">
        <v>56.095499999999902</v>
      </c>
      <c r="I6">
        <f t="shared" si="0"/>
        <v>-5.0000000000000002E-5</v>
      </c>
      <c r="J6" t="str">
        <f t="shared" si="1"/>
        <v/>
      </c>
      <c r="K6" t="str">
        <f t="shared" si="2"/>
        <v/>
      </c>
      <c r="L6" t="str">
        <f t="shared" si="3"/>
        <v/>
      </c>
      <c r="M6" t="str">
        <f t="shared" si="4"/>
        <v/>
      </c>
      <c r="O6" s="30">
        <f t="shared" si="5"/>
        <v>1.1170225000000004E-2</v>
      </c>
      <c r="P6">
        <f t="shared" si="6"/>
        <v>89.753666984493748</v>
      </c>
      <c r="S6" s="21"/>
      <c r="T6" s="22">
        <f t="shared" ref="T6:T60" si="8">D6-O5</f>
        <v>0</v>
      </c>
      <c r="U6" s="23">
        <f t="shared" ref="U6:U60" si="9">C6-P5</f>
        <v>2.8405999999847609E-4</v>
      </c>
      <c r="X6" t="s">
        <v>47</v>
      </c>
      <c r="Y6" t="s">
        <v>39</v>
      </c>
    </row>
    <row r="7" spans="1:25" x14ac:dyDescent="0.2">
      <c r="A7">
        <f t="shared" si="7"/>
        <v>1810.4348</v>
      </c>
      <c r="B7" t="s">
        <v>39</v>
      </c>
      <c r="C7">
        <v>89.753699999999995</v>
      </c>
      <c r="D7" s="30">
        <v>1.1171E-2</v>
      </c>
      <c r="E7">
        <v>22002.200220022001</v>
      </c>
      <c r="F7" t="b">
        <v>0</v>
      </c>
      <c r="G7">
        <v>147.529</v>
      </c>
      <c r="I7">
        <f t="shared" si="0"/>
        <v>4.545E-5</v>
      </c>
      <c r="J7" t="str">
        <f t="shared" si="1"/>
        <v/>
      </c>
      <c r="K7" t="str">
        <f t="shared" si="2"/>
        <v/>
      </c>
      <c r="L7" t="str">
        <f t="shared" si="3"/>
        <v/>
      </c>
      <c r="M7" t="str">
        <f t="shared" si="4"/>
        <v/>
      </c>
      <c r="O7" s="30">
        <f t="shared" si="5"/>
        <v>1.7876193049999999E-2</v>
      </c>
      <c r="P7">
        <f t="shared" si="6"/>
        <v>91.896351671736724</v>
      </c>
      <c r="S7" s="21"/>
      <c r="T7" s="22">
        <f t="shared" si="8"/>
        <v>7.7499999999626479E-7</v>
      </c>
      <c r="U7" s="23">
        <f t="shared" si="9"/>
        <v>3.3015506247124904E-5</v>
      </c>
      <c r="X7" t="s">
        <v>47</v>
      </c>
      <c r="Y7" t="s">
        <v>39</v>
      </c>
    </row>
    <row r="8" spans="1:25" x14ac:dyDescent="0.2">
      <c r="A8">
        <f t="shared" si="7"/>
        <v>1957.9638</v>
      </c>
      <c r="B8" t="s">
        <v>39</v>
      </c>
      <c r="C8">
        <v>91.896299999999997</v>
      </c>
      <c r="D8" s="30">
        <v>1.7876E-2</v>
      </c>
      <c r="E8">
        <v>20000</v>
      </c>
      <c r="F8" t="b">
        <v>1</v>
      </c>
      <c r="G8">
        <v>58.134000000000015</v>
      </c>
      <c r="I8">
        <f t="shared" si="0"/>
        <v>-5.0000000000000002E-5</v>
      </c>
      <c r="J8" t="str">
        <f t="shared" si="1"/>
        <v/>
      </c>
      <c r="K8" t="str">
        <f t="shared" si="2"/>
        <v/>
      </c>
      <c r="L8" t="str">
        <f t="shared" si="3"/>
        <v/>
      </c>
      <c r="M8" t="str">
        <f t="shared" si="4"/>
        <v/>
      </c>
      <c r="O8" s="30">
        <f t="shared" si="5"/>
        <v>1.4969299999999998E-2</v>
      </c>
      <c r="P8">
        <f t="shared" si="6"/>
        <v>92.85101433509999</v>
      </c>
      <c r="S8" s="21"/>
      <c r="T8" s="22">
        <f t="shared" si="8"/>
        <v>-1.9304999999969485E-7</v>
      </c>
      <c r="U8" s="23">
        <f t="shared" si="9"/>
        <v>-5.1671736727598727E-5</v>
      </c>
      <c r="X8" t="s">
        <v>47</v>
      </c>
      <c r="Y8" t="s">
        <v>39</v>
      </c>
    </row>
    <row r="9" spans="1:25" x14ac:dyDescent="0.2">
      <c r="A9">
        <f t="shared" si="7"/>
        <v>2016.0978</v>
      </c>
      <c r="B9" t="s">
        <v>20</v>
      </c>
      <c r="C9">
        <v>92.851100000000002</v>
      </c>
      <c r="D9" s="30">
        <v>1.4970000000000001E-2</v>
      </c>
      <c r="E9">
        <v>0</v>
      </c>
      <c r="F9" t="s">
        <v>14</v>
      </c>
      <c r="G9">
        <v>431.44000000000005</v>
      </c>
      <c r="I9">
        <f t="shared" si="0"/>
        <v>0</v>
      </c>
      <c r="J9" t="str">
        <f t="shared" si="1"/>
        <v/>
      </c>
      <c r="K9" t="str">
        <f t="shared" si="2"/>
        <v/>
      </c>
      <c r="L9" t="str">
        <f t="shared" si="3"/>
        <v/>
      </c>
      <c r="M9" t="str">
        <f t="shared" si="4"/>
        <v/>
      </c>
      <c r="O9" s="30">
        <f t="shared" si="5"/>
        <v>1.4970000000000001E-2</v>
      </c>
      <c r="P9">
        <f t="shared" si="6"/>
        <v>99.309756800000002</v>
      </c>
      <c r="S9" s="21"/>
      <c r="T9" s="22">
        <f t="shared" si="8"/>
        <v>7.0000000000278173E-7</v>
      </c>
      <c r="U9" s="23">
        <f t="shared" si="9"/>
        <v>8.5664900012716316E-5</v>
      </c>
      <c r="X9" t="s">
        <v>20</v>
      </c>
      <c r="Y9" t="s">
        <v>20</v>
      </c>
    </row>
    <row r="10" spans="1:25" x14ac:dyDescent="0.2">
      <c r="A10">
        <f t="shared" si="7"/>
        <v>2447.5378000000001</v>
      </c>
      <c r="B10" t="s">
        <v>39</v>
      </c>
      <c r="C10">
        <v>99.309600000000003</v>
      </c>
      <c r="D10" s="30">
        <v>1.4970000000000001E-2</v>
      </c>
      <c r="E10">
        <v>23310.023310023309</v>
      </c>
      <c r="F10" t="b">
        <v>1</v>
      </c>
      <c r="G10">
        <v>118.16499999999996</v>
      </c>
      <c r="I10">
        <f t="shared" si="0"/>
        <v>-4.2899999999999999E-5</v>
      </c>
      <c r="J10" t="str">
        <f t="shared" si="1"/>
        <v/>
      </c>
      <c r="K10" t="str">
        <f t="shared" si="2"/>
        <v/>
      </c>
      <c r="L10" t="str">
        <f t="shared" si="3"/>
        <v/>
      </c>
      <c r="M10" t="str">
        <f t="shared" si="4"/>
        <v/>
      </c>
      <c r="O10" s="30">
        <f t="shared" si="5"/>
        <v>9.9007215000000027E-3</v>
      </c>
      <c r="P10">
        <f t="shared" si="6"/>
        <v>100.77902440302375</v>
      </c>
      <c r="S10" s="21"/>
      <c r="T10" s="22">
        <f t="shared" si="8"/>
        <v>0</v>
      </c>
      <c r="U10" s="23">
        <f t="shared" si="9"/>
        <v>-1.5679999999917982E-4</v>
      </c>
      <c r="X10" t="s">
        <v>47</v>
      </c>
      <c r="Y10" t="s">
        <v>39</v>
      </c>
    </row>
    <row r="11" spans="1:25" x14ac:dyDescent="0.2">
      <c r="A11">
        <f t="shared" si="7"/>
        <v>2565.7028</v>
      </c>
      <c r="B11" t="s">
        <v>39</v>
      </c>
      <c r="C11">
        <v>100.779</v>
      </c>
      <c r="D11" s="30">
        <v>9.8999999999999991E-3</v>
      </c>
      <c r="E11">
        <v>12955.045990413266</v>
      </c>
      <c r="F11" t="b">
        <v>0</v>
      </c>
      <c r="G11">
        <v>53.662400000000162</v>
      </c>
      <c r="I11">
        <f t="shared" si="0"/>
        <v>7.7189999999999998E-5</v>
      </c>
      <c r="J11" t="str">
        <f t="shared" si="1"/>
        <v/>
      </c>
      <c r="K11" t="str">
        <f t="shared" si="2"/>
        <v/>
      </c>
      <c r="L11" t="str">
        <f t="shared" si="3"/>
        <v/>
      </c>
      <c r="M11" t="str">
        <f t="shared" si="4"/>
        <v/>
      </c>
      <c r="O11" s="30">
        <f t="shared" si="5"/>
        <v>1.4042200656000012E-2</v>
      </c>
      <c r="P11">
        <f t="shared" si="6"/>
        <v>101.42139797424126</v>
      </c>
      <c r="S11" s="21"/>
      <c r="T11" s="22">
        <f t="shared" si="8"/>
        <v>-7.2150000000360814E-7</v>
      </c>
      <c r="U11" s="23">
        <f t="shared" si="9"/>
        <v>-2.4403023758168274E-5</v>
      </c>
      <c r="X11" t="s">
        <v>47</v>
      </c>
      <c r="Y11" t="s">
        <v>39</v>
      </c>
    </row>
    <row r="12" spans="1:25" x14ac:dyDescent="0.2">
      <c r="A12">
        <f t="shared" si="7"/>
        <v>2619.3652000000002</v>
      </c>
      <c r="B12" t="s">
        <v>39</v>
      </c>
      <c r="C12">
        <v>101.42140000000001</v>
      </c>
      <c r="D12" s="30">
        <v>1.4043000000000002E-2</v>
      </c>
      <c r="E12">
        <v>59988.002399520097</v>
      </c>
      <c r="F12" t="b">
        <v>1</v>
      </c>
      <c r="G12">
        <v>177.81779999999981</v>
      </c>
      <c r="I12">
        <f t="shared" si="0"/>
        <v>-1.6670000000000001E-5</v>
      </c>
      <c r="J12" t="str">
        <f t="shared" si="1"/>
        <v/>
      </c>
      <c r="K12" t="str">
        <f t="shared" si="2"/>
        <v/>
      </c>
      <c r="L12" t="str">
        <f t="shared" si="3"/>
        <v/>
      </c>
      <c r="M12" t="str">
        <f t="shared" si="4"/>
        <v/>
      </c>
      <c r="O12" s="30">
        <f t="shared" si="5"/>
        <v>1.1078777274000005E-2</v>
      </c>
      <c r="P12">
        <f t="shared" si="6"/>
        <v>103.65494958347634</v>
      </c>
      <c r="S12" s="21"/>
      <c r="T12" s="22">
        <f t="shared" si="8"/>
        <v>7.9934399998919659E-7</v>
      </c>
      <c r="U12" s="23">
        <f t="shared" si="9"/>
        <v>2.0257587465266624E-6</v>
      </c>
      <c r="X12" t="s">
        <v>47</v>
      </c>
      <c r="Y12" t="s">
        <v>39</v>
      </c>
    </row>
    <row r="13" spans="1:25" x14ac:dyDescent="0.2">
      <c r="A13">
        <f t="shared" si="7"/>
        <v>2797.183</v>
      </c>
      <c r="B13" t="s">
        <v>39</v>
      </c>
      <c r="C13">
        <v>103.6549</v>
      </c>
      <c r="D13" s="30">
        <v>1.1079E-2</v>
      </c>
      <c r="E13">
        <v>65832.784726793936</v>
      </c>
      <c r="F13" t="b">
        <v>1</v>
      </c>
      <c r="G13">
        <v>504.94750000000022</v>
      </c>
      <c r="I13">
        <f t="shared" si="0"/>
        <v>-1.5190000000000002E-5</v>
      </c>
      <c r="J13" t="str">
        <f t="shared" si="1"/>
        <v/>
      </c>
      <c r="K13" t="str">
        <f t="shared" si="2"/>
        <v/>
      </c>
      <c r="L13" t="str">
        <f t="shared" si="3"/>
        <v/>
      </c>
      <c r="M13" t="str">
        <f t="shared" si="4"/>
        <v/>
      </c>
      <c r="O13" s="30">
        <f t="shared" si="5"/>
        <v>3.4088474749999964E-3</v>
      </c>
      <c r="P13">
        <f t="shared" si="6"/>
        <v>107.31270118144128</v>
      </c>
      <c r="S13" s="21"/>
      <c r="T13" s="22">
        <f t="shared" si="8"/>
        <v>2.2272599999560716E-7</v>
      </c>
      <c r="U13" s="23">
        <f t="shared" si="9"/>
        <v>-4.9583476339876142E-5</v>
      </c>
      <c r="X13" t="s">
        <v>47</v>
      </c>
      <c r="Y13" t="s">
        <v>39</v>
      </c>
    </row>
    <row r="14" spans="1:25" x14ac:dyDescent="0.2">
      <c r="A14">
        <f t="shared" si="7"/>
        <v>3302.1305000000002</v>
      </c>
      <c r="B14" t="s">
        <v>39</v>
      </c>
      <c r="C14">
        <v>107.3122</v>
      </c>
      <c r="D14" s="30">
        <v>3.4069999999999999E-3</v>
      </c>
      <c r="E14">
        <v>40387.722132471732</v>
      </c>
      <c r="F14" t="b">
        <v>1</v>
      </c>
      <c r="G14">
        <v>60.557199999999739</v>
      </c>
      <c r="I14">
        <f t="shared" si="0"/>
        <v>-2.4759999999999997E-5</v>
      </c>
      <c r="J14" t="str">
        <f t="shared" si="1"/>
        <v/>
      </c>
      <c r="K14" t="str">
        <f t="shared" si="2"/>
        <v/>
      </c>
      <c r="L14" t="str">
        <f t="shared" si="3"/>
        <v/>
      </c>
      <c r="M14" t="str">
        <f t="shared" si="4"/>
        <v/>
      </c>
      <c r="O14" s="30">
        <f t="shared" si="5"/>
        <v>1.9076037280000065E-3</v>
      </c>
      <c r="P14">
        <f t="shared" si="6"/>
        <v>107.47311876043862</v>
      </c>
      <c r="S14" s="21"/>
      <c r="T14" s="22">
        <f t="shared" si="8"/>
        <v>-1.8474749999965005E-6</v>
      </c>
      <c r="U14" s="23">
        <f t="shared" si="9"/>
        <v>-5.0118144127964115E-4</v>
      </c>
      <c r="X14" t="s">
        <v>47</v>
      </c>
      <c r="Y14" t="s">
        <v>39</v>
      </c>
    </row>
    <row r="15" spans="1:25" x14ac:dyDescent="0.2">
      <c r="A15">
        <f t="shared" si="7"/>
        <v>3362.6876999999999</v>
      </c>
      <c r="B15" t="s">
        <v>39</v>
      </c>
      <c r="C15">
        <v>107.473</v>
      </c>
      <c r="D15" s="30">
        <v>1.9070000000000001E-3</v>
      </c>
      <c r="E15">
        <v>8383.6351441985244</v>
      </c>
      <c r="F15" t="b">
        <v>0</v>
      </c>
      <c r="G15">
        <v>51.740999999999985</v>
      </c>
      <c r="I15">
        <f t="shared" si="0"/>
        <v>1.1928E-4</v>
      </c>
      <c r="J15" t="str">
        <f t="shared" si="1"/>
        <v/>
      </c>
      <c r="K15" t="str">
        <f t="shared" si="2"/>
        <v/>
      </c>
      <c r="L15" t="str">
        <f t="shared" si="3"/>
        <v/>
      </c>
      <c r="M15" t="str">
        <f t="shared" si="4"/>
        <v/>
      </c>
      <c r="O15" s="30">
        <f t="shared" si="5"/>
        <v>8.0786664799999981E-3</v>
      </c>
      <c r="P15">
        <f t="shared" si="6"/>
        <v>107.73133418467084</v>
      </c>
      <c r="S15" s="21"/>
      <c r="T15" s="22">
        <f t="shared" si="8"/>
        <v>-6.0372800000647701E-7</v>
      </c>
      <c r="U15" s="23">
        <f t="shared" si="9"/>
        <v>-1.1876043862457664E-4</v>
      </c>
      <c r="X15" t="s">
        <v>47</v>
      </c>
      <c r="Y15" t="s">
        <v>39</v>
      </c>
    </row>
    <row r="16" spans="1:25" x14ac:dyDescent="0.2">
      <c r="A16">
        <f t="shared" si="7"/>
        <v>3414.4286999999999</v>
      </c>
      <c r="B16" t="s">
        <v>39</v>
      </c>
      <c r="C16">
        <v>107.73139999999999</v>
      </c>
      <c r="D16" s="30">
        <v>8.0789999999999994E-3</v>
      </c>
      <c r="E16">
        <v>10000</v>
      </c>
      <c r="F16" t="b">
        <v>1</v>
      </c>
      <c r="G16">
        <v>71.38189999999986</v>
      </c>
      <c r="I16">
        <f t="shared" si="0"/>
        <v>-1E-4</v>
      </c>
      <c r="J16" t="str">
        <f t="shared" si="1"/>
        <v/>
      </c>
      <c r="K16" t="str">
        <f t="shared" si="2"/>
        <v/>
      </c>
      <c r="L16" t="str">
        <f t="shared" si="3"/>
        <v/>
      </c>
      <c r="M16" t="str">
        <f t="shared" si="4"/>
        <v/>
      </c>
      <c r="O16" s="30">
        <f t="shared" si="5"/>
        <v>9.4081000000001327E-4</v>
      </c>
      <c r="P16">
        <f t="shared" si="6"/>
        <v>108.0533255877195</v>
      </c>
      <c r="S16" s="21"/>
      <c r="T16" s="22">
        <f t="shared" si="8"/>
        <v>3.335200000013222E-7</v>
      </c>
      <c r="U16" s="23">
        <f t="shared" si="9"/>
        <v>6.5815329151064361E-5</v>
      </c>
      <c r="X16" t="s">
        <v>47</v>
      </c>
      <c r="Y16" t="s">
        <v>39</v>
      </c>
    </row>
    <row r="17" spans="1:25" x14ac:dyDescent="0.2">
      <c r="A17">
        <f t="shared" si="7"/>
        <v>3485.8105999999998</v>
      </c>
      <c r="B17" t="s">
        <v>20</v>
      </c>
      <c r="C17">
        <v>108.05329999999999</v>
      </c>
      <c r="D17" s="30">
        <v>9.41E-4</v>
      </c>
      <c r="E17">
        <v>0</v>
      </c>
      <c r="F17" t="s">
        <v>14</v>
      </c>
      <c r="G17">
        <v>149.65820000000031</v>
      </c>
      <c r="I17">
        <f t="shared" si="0"/>
        <v>0</v>
      </c>
      <c r="J17" t="str">
        <f t="shared" si="1"/>
        <v/>
      </c>
      <c r="K17" t="str">
        <f t="shared" si="2"/>
        <v/>
      </c>
      <c r="L17" t="str">
        <f t="shared" si="3"/>
        <v/>
      </c>
      <c r="M17" t="str">
        <f t="shared" si="4"/>
        <v/>
      </c>
      <c r="O17" s="30">
        <f t="shared" si="5"/>
        <v>9.41E-4</v>
      </c>
      <c r="P17">
        <f t="shared" si="6"/>
        <v>108.19412836619999</v>
      </c>
      <c r="S17" s="21"/>
      <c r="T17" s="22">
        <f t="shared" si="8"/>
        <v>1.8999999998672856E-7</v>
      </c>
      <c r="U17" s="23">
        <f t="shared" si="9"/>
        <v>-2.5587719505892892E-5</v>
      </c>
      <c r="X17" t="s">
        <v>20</v>
      </c>
      <c r="Y17" t="s">
        <v>20</v>
      </c>
    </row>
    <row r="18" spans="1:25" x14ac:dyDescent="0.2">
      <c r="A18">
        <f t="shared" si="7"/>
        <v>3635.4688000000001</v>
      </c>
      <c r="B18" t="s">
        <v>39</v>
      </c>
      <c r="C18">
        <v>108.19410000000001</v>
      </c>
      <c r="D18" s="30">
        <v>9.41E-4</v>
      </c>
      <c r="E18">
        <v>69060.773480662974</v>
      </c>
      <c r="F18" t="b">
        <v>1</v>
      </c>
      <c r="G18">
        <v>214.67180000000008</v>
      </c>
      <c r="I18">
        <f t="shared" si="0"/>
        <v>-1.4480000000000002E-5</v>
      </c>
      <c r="J18" t="str">
        <f t="shared" si="1"/>
        <v/>
      </c>
      <c r="K18" t="str">
        <f t="shared" si="2"/>
        <v/>
      </c>
      <c r="L18" t="str">
        <f t="shared" si="3"/>
        <v/>
      </c>
      <c r="M18" t="str">
        <f t="shared" si="4"/>
        <v/>
      </c>
      <c r="O18" s="30">
        <f t="shared" si="5"/>
        <v>-2.1674476640000015E-3</v>
      </c>
      <c r="P18">
        <f t="shared" si="6"/>
        <v>108.06245813618168</v>
      </c>
      <c r="S18" s="21"/>
      <c r="T18" s="22">
        <f t="shared" si="8"/>
        <v>0</v>
      </c>
      <c r="U18" s="23">
        <f t="shared" si="9"/>
        <v>-2.8366199984475315E-5</v>
      </c>
      <c r="X18" t="s">
        <v>47</v>
      </c>
      <c r="Y18" t="s">
        <v>39</v>
      </c>
    </row>
    <row r="19" spans="1:25" x14ac:dyDescent="0.2">
      <c r="A19">
        <f t="shared" si="7"/>
        <v>3850.1406000000002</v>
      </c>
      <c r="B19" t="s">
        <v>39</v>
      </c>
      <c r="C19">
        <v>108.06229999999999</v>
      </c>
      <c r="D19" s="30">
        <v>-2.1679999999999998E-3</v>
      </c>
      <c r="E19">
        <v>59988.002399520097</v>
      </c>
      <c r="F19" t="b">
        <v>1</v>
      </c>
      <c r="G19">
        <v>161.8431999999998</v>
      </c>
      <c r="I19">
        <f t="shared" si="0"/>
        <v>-1.6670000000000001E-5</v>
      </c>
      <c r="J19" t="str">
        <f t="shared" si="1"/>
        <v/>
      </c>
      <c r="K19" t="str">
        <f t="shared" si="2"/>
        <v/>
      </c>
      <c r="L19" t="str">
        <f t="shared" si="3"/>
        <v/>
      </c>
      <c r="M19" t="str">
        <f t="shared" si="4"/>
        <v/>
      </c>
      <c r="O19" s="30">
        <f t="shared" si="5"/>
        <v>-4.8659261439999964E-3</v>
      </c>
      <c r="P19">
        <f t="shared" si="6"/>
        <v>107.49310344214568</v>
      </c>
      <c r="S19" s="21"/>
      <c r="T19" s="22">
        <f t="shared" si="8"/>
        <v>-5.5233599999824148E-7</v>
      </c>
      <c r="U19" s="23">
        <f t="shared" si="9"/>
        <v>-1.5813618168181165E-4</v>
      </c>
      <c r="X19" t="s">
        <v>47</v>
      </c>
      <c r="Y19" t="s">
        <v>39</v>
      </c>
    </row>
    <row r="20" spans="1:25" x14ac:dyDescent="0.2">
      <c r="A20">
        <f t="shared" si="7"/>
        <v>4011.9838</v>
      </c>
      <c r="B20" t="s">
        <v>20</v>
      </c>
      <c r="C20">
        <v>107.4931</v>
      </c>
      <c r="D20" s="30">
        <v>-4.8659999999999997E-3</v>
      </c>
      <c r="E20">
        <v>0</v>
      </c>
      <c r="F20" t="s">
        <v>14</v>
      </c>
      <c r="G20">
        <v>363.97530000000006</v>
      </c>
      <c r="I20">
        <f t="shared" si="0"/>
        <v>0</v>
      </c>
      <c r="J20" t="str">
        <f t="shared" si="1"/>
        <v/>
      </c>
      <c r="K20" t="str">
        <f t="shared" si="2"/>
        <v/>
      </c>
      <c r="L20" t="str">
        <f t="shared" si="3"/>
        <v/>
      </c>
      <c r="M20" t="str">
        <f t="shared" si="4"/>
        <v/>
      </c>
      <c r="O20" s="30">
        <f t="shared" si="5"/>
        <v>-4.8659999999999997E-3</v>
      </c>
      <c r="P20">
        <f t="shared" si="6"/>
        <v>105.7219961902</v>
      </c>
      <c r="S20" s="21"/>
      <c r="T20" s="22">
        <f t="shared" si="8"/>
        <v>-7.3856000003258426E-8</v>
      </c>
      <c r="U20" s="23">
        <f t="shared" si="9"/>
        <v>-3.4421456831523756E-6</v>
      </c>
      <c r="X20" t="s">
        <v>20</v>
      </c>
      <c r="Y20" t="s">
        <v>20</v>
      </c>
    </row>
    <row r="21" spans="1:25" x14ac:dyDescent="0.2">
      <c r="A21">
        <f t="shared" si="7"/>
        <v>4375.9591</v>
      </c>
      <c r="B21" t="s">
        <v>39</v>
      </c>
      <c r="C21">
        <v>105.7221</v>
      </c>
      <c r="D21" s="30">
        <v>-4.8659999999999997E-3</v>
      </c>
      <c r="E21">
        <v>105042.01680672268</v>
      </c>
      <c r="F21" t="b">
        <v>0</v>
      </c>
      <c r="G21">
        <v>960.61120000000028</v>
      </c>
      <c r="I21">
        <f t="shared" si="0"/>
        <v>9.5200000000000003E-6</v>
      </c>
      <c r="J21" t="str">
        <f t="shared" si="1"/>
        <v/>
      </c>
      <c r="K21" t="str">
        <f t="shared" si="2"/>
        <v/>
      </c>
      <c r="L21" t="str">
        <f t="shared" si="3"/>
        <v/>
      </c>
      <c r="M21" t="str">
        <f t="shared" si="4"/>
        <v/>
      </c>
      <c r="O21" s="30">
        <f t="shared" si="5"/>
        <v>4.2790186240000026E-3</v>
      </c>
      <c r="P21">
        <f t="shared" si="6"/>
        <v>105.44016955801149</v>
      </c>
      <c r="S21" s="21"/>
      <c r="T21" s="22">
        <f t="shared" si="8"/>
        <v>0</v>
      </c>
      <c r="U21" s="23">
        <f t="shared" si="9"/>
        <v>1.0380979999524698E-4</v>
      </c>
      <c r="X21" t="s">
        <v>47</v>
      </c>
      <c r="Y21" t="s">
        <v>39</v>
      </c>
    </row>
    <row r="22" spans="1:25" x14ac:dyDescent="0.2">
      <c r="A22">
        <f t="shared" si="7"/>
        <v>5336.5703000000003</v>
      </c>
      <c r="B22" t="s">
        <v>39</v>
      </c>
      <c r="C22">
        <v>105.4422</v>
      </c>
      <c r="D22" s="30">
        <v>4.2830000000000003E-3</v>
      </c>
      <c r="E22">
        <v>18198.362147406733</v>
      </c>
      <c r="F22" t="b">
        <v>1</v>
      </c>
      <c r="G22">
        <v>90.066399999999703</v>
      </c>
      <c r="I22">
        <f t="shared" si="0"/>
        <v>-5.4950000000000001E-5</v>
      </c>
      <c r="J22" t="str">
        <f t="shared" si="1"/>
        <v/>
      </c>
      <c r="K22" t="str">
        <f t="shared" si="2"/>
        <v/>
      </c>
      <c r="L22" t="str">
        <f t="shared" si="3"/>
        <v/>
      </c>
      <c r="M22" t="str">
        <f t="shared" si="4"/>
        <v/>
      </c>
      <c r="O22" s="30">
        <f t="shared" si="5"/>
        <v>-6.6614867999998349E-4</v>
      </c>
      <c r="P22">
        <f t="shared" si="6"/>
        <v>105.60507838886383</v>
      </c>
      <c r="S22" s="21"/>
      <c r="T22" s="22">
        <f t="shared" si="8"/>
        <v>3.9813759999977535E-6</v>
      </c>
      <c r="U22" s="23">
        <f t="shared" si="9"/>
        <v>2.0304419885093239E-3</v>
      </c>
      <c r="X22" t="s">
        <v>47</v>
      </c>
      <c r="Y22" t="s">
        <v>39</v>
      </c>
    </row>
    <row r="23" spans="1:25" x14ac:dyDescent="0.2">
      <c r="A23">
        <f t="shared" si="7"/>
        <v>5426.6367</v>
      </c>
      <c r="B23" t="s">
        <v>39</v>
      </c>
      <c r="C23">
        <v>105.60509999999999</v>
      </c>
      <c r="D23" s="30">
        <v>-6.6600000000000003E-4</v>
      </c>
      <c r="E23">
        <v>3700.0037000037</v>
      </c>
      <c r="F23" t="b">
        <v>0</v>
      </c>
      <c r="G23">
        <v>41.286699999999655</v>
      </c>
      <c r="I23">
        <f t="shared" si="0"/>
        <v>2.7026999999999997E-4</v>
      </c>
      <c r="J23" t="str">
        <f t="shared" si="1"/>
        <v/>
      </c>
      <c r="K23" t="str">
        <f t="shared" si="2"/>
        <v/>
      </c>
      <c r="L23" t="str">
        <f t="shared" si="3"/>
        <v/>
      </c>
      <c r="M23" t="str">
        <f t="shared" si="4"/>
        <v/>
      </c>
      <c r="O23" s="30">
        <f t="shared" si="5"/>
        <v>1.0492556408999905E-2</v>
      </c>
      <c r="P23">
        <f t="shared" si="6"/>
        <v>105.80795304324572</v>
      </c>
      <c r="S23" s="21"/>
      <c r="T23" s="22">
        <f t="shared" si="8"/>
        <v>1.4867999998345854E-7</v>
      </c>
      <c r="U23" s="23">
        <f t="shared" si="9"/>
        <v>2.1611136162391631E-5</v>
      </c>
      <c r="X23" t="s">
        <v>47</v>
      </c>
      <c r="Y23" t="s">
        <v>39</v>
      </c>
    </row>
    <row r="24" spans="1:25" x14ac:dyDescent="0.2">
      <c r="A24">
        <f t="shared" si="7"/>
        <v>5467.9233999999997</v>
      </c>
      <c r="B24" t="s">
        <v>39</v>
      </c>
      <c r="C24">
        <v>105.8079</v>
      </c>
      <c r="D24" s="30">
        <v>1.0492999999999999E-2</v>
      </c>
      <c r="E24">
        <v>18198.362147406733</v>
      </c>
      <c r="F24" t="b">
        <v>1</v>
      </c>
      <c r="G24">
        <v>128.36239999999998</v>
      </c>
      <c r="I24">
        <f t="shared" si="0"/>
        <v>-5.4950000000000001E-5</v>
      </c>
      <c r="J24" t="str">
        <f t="shared" si="1"/>
        <v/>
      </c>
      <c r="K24" t="str">
        <f t="shared" si="2"/>
        <v/>
      </c>
      <c r="L24" t="str">
        <f t="shared" si="3"/>
        <v/>
      </c>
      <c r="M24" t="str">
        <f t="shared" si="4"/>
        <v/>
      </c>
      <c r="O24" s="30">
        <f t="shared" si="5"/>
        <v>3.4394861199999998E-3</v>
      </c>
      <c r="P24">
        <f t="shared" si="6"/>
        <v>106.70210367816495</v>
      </c>
      <c r="S24" s="21"/>
      <c r="T24" s="22">
        <f t="shared" si="8"/>
        <v>4.4359100009362662E-7</v>
      </c>
      <c r="U24" s="23">
        <f t="shared" si="9"/>
        <v>-5.3043245713979559E-5</v>
      </c>
      <c r="X24" t="s">
        <v>47</v>
      </c>
      <c r="Y24" t="s">
        <v>39</v>
      </c>
    </row>
    <row r="25" spans="1:25" x14ac:dyDescent="0.2">
      <c r="A25">
        <f t="shared" si="7"/>
        <v>5596.2857999999997</v>
      </c>
      <c r="B25" t="s">
        <v>39</v>
      </c>
      <c r="C25">
        <v>106.7021</v>
      </c>
      <c r="D25" s="30">
        <v>3.4399999999999999E-3</v>
      </c>
      <c r="E25">
        <v>3700.0037000037</v>
      </c>
      <c r="F25" t="b">
        <v>0</v>
      </c>
      <c r="G25">
        <v>6.3216000000002168</v>
      </c>
      <c r="I25">
        <f t="shared" si="0"/>
        <v>2.7026999999999997E-4</v>
      </c>
      <c r="J25" t="str">
        <f t="shared" si="1"/>
        <v/>
      </c>
      <c r="K25" t="str">
        <f t="shared" si="2"/>
        <v/>
      </c>
      <c r="L25" t="str">
        <f t="shared" si="3"/>
        <v/>
      </c>
      <c r="M25" t="str">
        <f t="shared" si="4"/>
        <v/>
      </c>
      <c r="O25" s="30">
        <f t="shared" si="5"/>
        <v>5.1485388320000585E-3</v>
      </c>
      <c r="P25">
        <f t="shared" si="6"/>
        <v>106.72924665354019</v>
      </c>
      <c r="S25" s="21"/>
      <c r="T25" s="22">
        <f t="shared" si="8"/>
        <v>5.1388000000011577E-7</v>
      </c>
      <c r="U25" s="23">
        <f t="shared" si="9"/>
        <v>-3.6781649441763875E-6</v>
      </c>
      <c r="X25" t="s">
        <v>47</v>
      </c>
      <c r="Y25" t="s">
        <v>39</v>
      </c>
    </row>
    <row r="26" spans="1:25" x14ac:dyDescent="0.2">
      <c r="A26">
        <f t="shared" si="7"/>
        <v>5602.6073999999999</v>
      </c>
      <c r="B26" t="s">
        <v>20</v>
      </c>
      <c r="C26">
        <v>106.72929999999999</v>
      </c>
      <c r="D26" s="30">
        <v>5.1480000000000007E-3</v>
      </c>
      <c r="E26">
        <v>0</v>
      </c>
      <c r="F26" t="s">
        <v>14</v>
      </c>
      <c r="G26">
        <v>340.78250000000025</v>
      </c>
      <c r="I26">
        <f t="shared" si="0"/>
        <v>0</v>
      </c>
      <c r="J26" t="str">
        <f t="shared" si="1"/>
        <v/>
      </c>
      <c r="K26" t="str">
        <f t="shared" si="2"/>
        <v/>
      </c>
      <c r="L26" t="str">
        <f t="shared" si="3"/>
        <v/>
      </c>
      <c r="M26" t="str">
        <f t="shared" si="4"/>
        <v/>
      </c>
      <c r="O26" s="30">
        <f t="shared" si="5"/>
        <v>5.1480000000000007E-3</v>
      </c>
      <c r="P26">
        <f t="shared" si="6"/>
        <v>108.48364830999999</v>
      </c>
      <c r="S26" s="21"/>
      <c r="T26" s="22">
        <f t="shared" si="8"/>
        <v>-5.3883200005783866E-7</v>
      </c>
      <c r="U26" s="23">
        <f t="shared" si="9"/>
        <v>5.3346459807812607E-5</v>
      </c>
      <c r="X26" t="s">
        <v>20</v>
      </c>
      <c r="Y26" t="s">
        <v>20</v>
      </c>
    </row>
    <row r="27" spans="1:25" x14ac:dyDescent="0.2">
      <c r="A27">
        <f t="shared" si="7"/>
        <v>5943.3899000000001</v>
      </c>
      <c r="B27" t="s">
        <v>39</v>
      </c>
      <c r="C27">
        <v>108.4838</v>
      </c>
      <c r="D27" s="30">
        <v>5.1480000000000007E-3</v>
      </c>
      <c r="E27">
        <v>33738.191632928472</v>
      </c>
      <c r="F27" t="b">
        <v>1</v>
      </c>
      <c r="G27">
        <v>133.35829999999987</v>
      </c>
      <c r="I27">
        <f t="shared" si="0"/>
        <v>-2.9640000000000001E-5</v>
      </c>
      <c r="J27" t="str">
        <f t="shared" si="1"/>
        <v/>
      </c>
      <c r="K27" t="str">
        <f t="shared" si="2"/>
        <v/>
      </c>
      <c r="L27" t="str">
        <f t="shared" si="3"/>
        <v/>
      </c>
      <c r="M27" t="str">
        <f t="shared" si="4"/>
        <v/>
      </c>
      <c r="O27" s="30">
        <f t="shared" si="5"/>
        <v>1.1952599880000045E-3</v>
      </c>
      <c r="P27">
        <f t="shared" si="6"/>
        <v>108.90676318422885</v>
      </c>
      <c r="S27" s="21"/>
      <c r="T27" s="22">
        <f t="shared" si="8"/>
        <v>0</v>
      </c>
      <c r="U27" s="23">
        <f t="shared" si="9"/>
        <v>1.5169000000980759E-4</v>
      </c>
      <c r="X27" t="s">
        <v>47</v>
      </c>
      <c r="Y27" t="s">
        <v>39</v>
      </c>
    </row>
    <row r="28" spans="1:25" x14ac:dyDescent="0.2">
      <c r="A28">
        <f t="shared" si="7"/>
        <v>6076.7482</v>
      </c>
      <c r="B28" t="s">
        <v>39</v>
      </c>
      <c r="C28">
        <v>108.9068</v>
      </c>
      <c r="D28" s="30">
        <v>1.1949999999999999E-3</v>
      </c>
      <c r="E28">
        <v>7500.1875046876175</v>
      </c>
      <c r="F28" t="b">
        <v>0</v>
      </c>
      <c r="G28">
        <v>56.373300000000199</v>
      </c>
      <c r="I28">
        <f t="shared" si="0"/>
        <v>1.3333E-4</v>
      </c>
      <c r="J28" t="str">
        <f t="shared" si="1"/>
        <v/>
      </c>
      <c r="K28" t="str">
        <f t="shared" si="2"/>
        <v/>
      </c>
      <c r="L28" t="str">
        <f t="shared" si="3"/>
        <v/>
      </c>
      <c r="M28" t="str">
        <f t="shared" si="4"/>
        <v/>
      </c>
      <c r="O28" s="30">
        <f t="shared" si="5"/>
        <v>8.7112520890000253E-3</v>
      </c>
      <c r="P28">
        <f t="shared" si="6"/>
        <v>109.18602406044442</v>
      </c>
      <c r="S28" s="21"/>
      <c r="T28" s="22">
        <f t="shared" si="8"/>
        <v>-2.5998800000457539E-7</v>
      </c>
      <c r="U28" s="23">
        <f t="shared" si="9"/>
        <v>3.6815771153442256E-5</v>
      </c>
      <c r="X28" t="s">
        <v>47</v>
      </c>
      <c r="Y28" t="s">
        <v>39</v>
      </c>
    </row>
    <row r="29" spans="1:25" x14ac:dyDescent="0.2">
      <c r="A29">
        <f t="shared" si="7"/>
        <v>6133.1215000000002</v>
      </c>
      <c r="B29" t="s">
        <v>39</v>
      </c>
      <c r="C29">
        <v>109.18600000000001</v>
      </c>
      <c r="D29" s="30">
        <v>8.7119999999999993E-3</v>
      </c>
      <c r="E29">
        <v>114942.52873563219</v>
      </c>
      <c r="F29" t="b">
        <v>1</v>
      </c>
      <c r="G29">
        <v>119.85759999999937</v>
      </c>
      <c r="I29">
        <f t="shared" si="0"/>
        <v>-8.6999999999999997E-6</v>
      </c>
      <c r="J29" t="str">
        <f t="shared" si="1"/>
        <v/>
      </c>
      <c r="K29" t="str">
        <f t="shared" si="2"/>
        <v/>
      </c>
      <c r="L29" t="str">
        <f t="shared" si="3"/>
        <v/>
      </c>
      <c r="M29" t="str">
        <f t="shared" si="4"/>
        <v/>
      </c>
      <c r="O29" s="30">
        <f t="shared" si="5"/>
        <v>7.6692388800000053E-3</v>
      </c>
      <c r="P29">
        <f t="shared" si="6"/>
        <v>110.16770798859174</v>
      </c>
      <c r="S29" s="21"/>
      <c r="T29" s="22">
        <f t="shared" si="8"/>
        <v>7.4791099997396915E-7</v>
      </c>
      <c r="U29" s="23">
        <f t="shared" si="9"/>
        <v>-2.4060444417273175E-5</v>
      </c>
      <c r="X29" t="s">
        <v>47</v>
      </c>
      <c r="Y29" t="s">
        <v>39</v>
      </c>
    </row>
    <row r="30" spans="1:25" x14ac:dyDescent="0.2">
      <c r="A30">
        <f t="shared" si="7"/>
        <v>6252.9790999999996</v>
      </c>
      <c r="B30" t="s">
        <v>39</v>
      </c>
      <c r="C30">
        <v>110.1677</v>
      </c>
      <c r="D30" s="30">
        <v>7.6690000000000005E-3</v>
      </c>
      <c r="E30">
        <v>40000</v>
      </c>
      <c r="F30" t="b">
        <v>0</v>
      </c>
      <c r="G30">
        <v>470.2527</v>
      </c>
      <c r="I30">
        <f t="shared" si="0"/>
        <v>2.5000000000000001E-5</v>
      </c>
      <c r="J30" t="str">
        <f t="shared" si="1"/>
        <v/>
      </c>
      <c r="K30" t="str">
        <f t="shared" si="2"/>
        <v/>
      </c>
      <c r="L30" t="str">
        <f t="shared" si="3"/>
        <v/>
      </c>
      <c r="M30" t="str">
        <f t="shared" si="4"/>
        <v/>
      </c>
      <c r="O30" s="30">
        <f t="shared" si="5"/>
        <v>1.9425317500000001E-2</v>
      </c>
      <c r="P30">
        <f t="shared" si="6"/>
        <v>116.53828797951613</v>
      </c>
      <c r="S30" s="21"/>
      <c r="T30" s="22">
        <f t="shared" si="8"/>
        <v>-2.3888000000478471E-7</v>
      </c>
      <c r="U30" s="23">
        <f t="shared" si="9"/>
        <v>-7.9885917472211077E-6</v>
      </c>
      <c r="X30" t="s">
        <v>47</v>
      </c>
      <c r="Y30" t="s">
        <v>39</v>
      </c>
    </row>
    <row r="31" spans="1:25" x14ac:dyDescent="0.2">
      <c r="A31">
        <f t="shared" si="7"/>
        <v>6723.2317999999996</v>
      </c>
      <c r="B31" t="s">
        <v>20</v>
      </c>
      <c r="C31">
        <v>116.5385</v>
      </c>
      <c r="D31" s="30">
        <v>1.9426000000000002E-2</v>
      </c>
      <c r="E31">
        <v>0</v>
      </c>
      <c r="F31" t="s">
        <v>14</v>
      </c>
      <c r="G31">
        <v>347.64470000000074</v>
      </c>
      <c r="I31">
        <f t="shared" si="0"/>
        <v>0</v>
      </c>
      <c r="J31" t="str">
        <f t="shared" si="1"/>
        <v/>
      </c>
      <c r="K31" t="str">
        <f t="shared" si="2"/>
        <v/>
      </c>
      <c r="L31" t="str">
        <f t="shared" si="3"/>
        <v/>
      </c>
      <c r="M31" t="str">
        <f t="shared" si="4"/>
        <v/>
      </c>
      <c r="O31" s="30">
        <f t="shared" si="5"/>
        <v>1.9426000000000002E-2</v>
      </c>
      <c r="P31">
        <f t="shared" si="6"/>
        <v>123.29184594220001</v>
      </c>
      <c r="S31" s="21"/>
      <c r="T31" s="22">
        <f t="shared" si="8"/>
        <v>6.8250000000158462E-7</v>
      </c>
      <c r="U31" s="23">
        <f t="shared" si="9"/>
        <v>2.1202048387181094E-4</v>
      </c>
      <c r="X31" t="s">
        <v>20</v>
      </c>
      <c r="Y31" t="s">
        <v>20</v>
      </c>
    </row>
    <row r="32" spans="1:25" x14ac:dyDescent="0.2">
      <c r="A32">
        <f t="shared" si="7"/>
        <v>7070.8765000000003</v>
      </c>
      <c r="B32" t="s">
        <v>39</v>
      </c>
      <c r="C32">
        <v>123.29179999999999</v>
      </c>
      <c r="D32" s="30">
        <v>1.9426000000000002E-2</v>
      </c>
      <c r="E32">
        <v>86505.190311418686</v>
      </c>
      <c r="F32" t="b">
        <v>1</v>
      </c>
      <c r="G32">
        <v>365.5021999999999</v>
      </c>
      <c r="I32">
        <f t="shared" si="0"/>
        <v>-1.1559999999999999E-5</v>
      </c>
      <c r="J32" t="str">
        <f t="shared" si="1"/>
        <v/>
      </c>
      <c r="K32" t="str">
        <f t="shared" si="2"/>
        <v/>
      </c>
      <c r="L32" t="str">
        <f t="shared" si="3"/>
        <v/>
      </c>
      <c r="M32" t="str">
        <f t="shared" si="4"/>
        <v/>
      </c>
      <c r="O32" s="30">
        <f t="shared" si="5"/>
        <v>1.5200794568000005E-2</v>
      </c>
      <c r="P32">
        <f t="shared" si="6"/>
        <v>129.61988479677603</v>
      </c>
      <c r="S32" s="21"/>
      <c r="T32" s="22">
        <f t="shared" si="8"/>
        <v>0</v>
      </c>
      <c r="U32" s="23">
        <f t="shared" si="9"/>
        <v>-4.5942200017634605E-5</v>
      </c>
      <c r="X32" t="s">
        <v>47</v>
      </c>
      <c r="Y32" t="s">
        <v>39</v>
      </c>
    </row>
    <row r="33" spans="1:25" x14ac:dyDescent="0.2">
      <c r="A33">
        <f t="shared" si="7"/>
        <v>7436.3787000000002</v>
      </c>
      <c r="B33" t="s">
        <v>39</v>
      </c>
      <c r="C33">
        <v>129.61969999999999</v>
      </c>
      <c r="D33" s="30">
        <v>1.52E-2</v>
      </c>
      <c r="E33">
        <v>45004.500450045001</v>
      </c>
      <c r="F33" t="b">
        <v>1</v>
      </c>
      <c r="G33">
        <v>434.19430000000011</v>
      </c>
      <c r="I33">
        <f t="shared" si="0"/>
        <v>-2.2220000000000001E-5</v>
      </c>
      <c r="J33" t="str">
        <f t="shared" si="1"/>
        <v/>
      </c>
      <c r="K33" t="str">
        <f t="shared" si="2"/>
        <v/>
      </c>
      <c r="L33" t="str">
        <f t="shared" si="3"/>
        <v/>
      </c>
      <c r="M33" t="str">
        <f t="shared" si="4"/>
        <v/>
      </c>
      <c r="O33" s="30">
        <f t="shared" si="5"/>
        <v>5.5522026539999974E-3</v>
      </c>
      <c r="P33">
        <f t="shared" si="6"/>
        <v>134.12494405240582</v>
      </c>
      <c r="S33" s="21"/>
      <c r="T33" s="22">
        <f t="shared" si="8"/>
        <v>-7.9456800000481109E-7</v>
      </c>
      <c r="U33" s="23">
        <f t="shared" si="9"/>
        <v>-1.8479677603977507E-4</v>
      </c>
      <c r="X33" t="s">
        <v>47</v>
      </c>
      <c r="Y33" t="s">
        <v>39</v>
      </c>
    </row>
    <row r="34" spans="1:25" x14ac:dyDescent="0.2">
      <c r="A34">
        <f t="shared" si="7"/>
        <v>7870.5730000000003</v>
      </c>
      <c r="B34" t="s">
        <v>39</v>
      </c>
      <c r="C34">
        <v>134.1249</v>
      </c>
      <c r="D34" s="30">
        <v>5.5520000000000005E-3</v>
      </c>
      <c r="E34">
        <v>59347.181008902073</v>
      </c>
      <c r="F34" t="b">
        <v>1</v>
      </c>
      <c r="G34">
        <v>611.51959999999963</v>
      </c>
      <c r="I34">
        <f t="shared" si="0"/>
        <v>-1.685E-5</v>
      </c>
      <c r="J34" t="str">
        <f t="shared" si="1"/>
        <v/>
      </c>
      <c r="K34" t="str">
        <f t="shared" si="2"/>
        <v/>
      </c>
      <c r="L34" t="str">
        <f t="shared" si="3"/>
        <v/>
      </c>
      <c r="M34" t="str">
        <f t="shared" si="4"/>
        <v/>
      </c>
      <c r="O34" s="30">
        <f t="shared" si="5"/>
        <v>-4.7521052599999924E-3</v>
      </c>
      <c r="P34">
        <f t="shared" si="6"/>
        <v>134.36947565572345</v>
      </c>
      <c r="S34" s="21"/>
      <c r="T34" s="22">
        <f t="shared" si="8"/>
        <v>-2.02653999996881E-7</v>
      </c>
      <c r="U34" s="23">
        <f t="shared" si="9"/>
        <v>-4.4052405826278118E-5</v>
      </c>
      <c r="X34" t="s">
        <v>47</v>
      </c>
      <c r="Y34" t="s">
        <v>39</v>
      </c>
    </row>
    <row r="35" spans="1:25" x14ac:dyDescent="0.2">
      <c r="A35">
        <f t="shared" si="7"/>
        <v>8482.0925999999999</v>
      </c>
      <c r="B35" t="s">
        <v>20</v>
      </c>
      <c r="C35">
        <v>134.36949999999999</v>
      </c>
      <c r="D35" s="30">
        <v>-4.751E-3</v>
      </c>
      <c r="E35">
        <v>0</v>
      </c>
      <c r="F35" t="s">
        <v>14</v>
      </c>
      <c r="G35">
        <v>116.81630000000041</v>
      </c>
      <c r="I35">
        <f t="shared" si="0"/>
        <v>0</v>
      </c>
      <c r="J35" t="str">
        <f t="shared" si="1"/>
        <v/>
      </c>
      <c r="K35" t="str">
        <f t="shared" si="2"/>
        <v/>
      </c>
      <c r="L35" t="str">
        <f t="shared" si="3"/>
        <v/>
      </c>
      <c r="M35" t="str">
        <f t="shared" si="4"/>
        <v/>
      </c>
      <c r="O35" s="30">
        <f t="shared" si="5"/>
        <v>-4.751E-3</v>
      </c>
      <c r="P35">
        <f t="shared" si="6"/>
        <v>133.81450575869999</v>
      </c>
      <c r="S35" s="21"/>
      <c r="T35" s="22">
        <f t="shared" si="8"/>
        <v>1.1052599999923987E-6</v>
      </c>
      <c r="U35" s="23">
        <f t="shared" si="9"/>
        <v>2.434427653952298E-5</v>
      </c>
      <c r="X35" t="s">
        <v>20</v>
      </c>
      <c r="Y35" t="s">
        <v>20</v>
      </c>
    </row>
    <row r="36" spans="1:25" x14ac:dyDescent="0.2">
      <c r="A36">
        <f t="shared" si="7"/>
        <v>8598.9089000000004</v>
      </c>
      <c r="B36" t="s">
        <v>39</v>
      </c>
      <c r="C36">
        <v>133.81450000000001</v>
      </c>
      <c r="D36" s="30">
        <v>-4.751E-3</v>
      </c>
      <c r="E36">
        <v>78678.206136900088</v>
      </c>
      <c r="F36" t="b">
        <v>1</v>
      </c>
      <c r="G36">
        <v>647.24799999999959</v>
      </c>
      <c r="I36">
        <f t="shared" si="0"/>
        <v>-1.2709999999999999E-5</v>
      </c>
      <c r="J36" t="str">
        <f t="shared" si="1"/>
        <v/>
      </c>
      <c r="K36" t="str">
        <f t="shared" si="2"/>
        <v/>
      </c>
      <c r="L36" t="str">
        <f t="shared" si="3"/>
        <v/>
      </c>
      <c r="M36" t="str">
        <f t="shared" si="4"/>
        <v/>
      </c>
      <c r="O36" s="30">
        <f t="shared" si="5"/>
        <v>-1.2977522079999994E-2</v>
      </c>
      <c r="P36">
        <f t="shared" si="6"/>
        <v>128.07712477038208</v>
      </c>
      <c r="S36" s="21"/>
      <c r="T36" s="22">
        <f t="shared" si="8"/>
        <v>0</v>
      </c>
      <c r="U36" s="23">
        <f t="shared" si="9"/>
        <v>-5.75869998442613E-6</v>
      </c>
      <c r="X36" t="s">
        <v>47</v>
      </c>
      <c r="Y36" t="s">
        <v>39</v>
      </c>
    </row>
    <row r="37" spans="1:25" x14ac:dyDescent="0.2">
      <c r="A37">
        <f t="shared" si="7"/>
        <v>9246.1569</v>
      </c>
      <c r="B37" t="s">
        <v>39</v>
      </c>
      <c r="C37">
        <v>128.07769999999999</v>
      </c>
      <c r="D37" s="30">
        <v>-1.2975E-2</v>
      </c>
      <c r="E37">
        <v>125000</v>
      </c>
      <c r="F37" t="b">
        <v>1</v>
      </c>
      <c r="G37">
        <v>256.29579999999987</v>
      </c>
      <c r="I37">
        <f t="shared" si="0"/>
        <v>-7.9999999999999996E-6</v>
      </c>
      <c r="J37" t="str">
        <f t="shared" si="1"/>
        <v/>
      </c>
      <c r="K37" t="str">
        <f t="shared" si="2"/>
        <v/>
      </c>
      <c r="L37" t="str">
        <f t="shared" si="3"/>
        <v/>
      </c>
      <c r="M37" t="str">
        <f t="shared" si="4"/>
        <v/>
      </c>
      <c r="O37" s="30">
        <f t="shared" si="5"/>
        <v>-1.50253664E-2</v>
      </c>
      <c r="P37">
        <f t="shared" si="6"/>
        <v>124.48951184660943</v>
      </c>
      <c r="S37" s="21"/>
      <c r="T37" s="22">
        <f t="shared" si="8"/>
        <v>2.5220799999940702E-6</v>
      </c>
      <c r="U37" s="23">
        <f t="shared" si="9"/>
        <v>5.7522961790823501E-4</v>
      </c>
      <c r="X37" t="s">
        <v>47</v>
      </c>
      <c r="Y37" t="s">
        <v>39</v>
      </c>
    </row>
    <row r="38" spans="1:25" x14ac:dyDescent="0.2">
      <c r="A38">
        <f t="shared" si="7"/>
        <v>9502.4526999999998</v>
      </c>
      <c r="B38" t="s">
        <v>39</v>
      </c>
      <c r="C38">
        <v>124.4894</v>
      </c>
      <c r="D38" s="30">
        <v>-1.5025999999999999E-2</v>
      </c>
      <c r="E38">
        <v>59136.605558840922</v>
      </c>
      <c r="F38" t="b">
        <v>1</v>
      </c>
      <c r="G38">
        <v>186.98500000000058</v>
      </c>
      <c r="I38">
        <f t="shared" si="0"/>
        <v>-1.6909999999999999E-5</v>
      </c>
      <c r="J38" t="str">
        <f t="shared" si="1"/>
        <v/>
      </c>
      <c r="K38" t="str">
        <f t="shared" si="2"/>
        <v/>
      </c>
      <c r="L38" t="str">
        <f t="shared" si="3"/>
        <v/>
      </c>
      <c r="M38" t="str">
        <f t="shared" si="4"/>
        <v/>
      </c>
      <c r="O38" s="30">
        <f t="shared" si="5"/>
        <v>-1.818791635000001E-2</v>
      </c>
      <c r="P38">
        <f t="shared" si="6"/>
        <v>121.38414792564762</v>
      </c>
      <c r="S38" s="21"/>
      <c r="T38" s="22">
        <f t="shared" si="8"/>
        <v>-6.335999999992209E-7</v>
      </c>
      <c r="U38" s="23">
        <f t="shared" si="9"/>
        <v>-1.1184660942831215E-4</v>
      </c>
      <c r="X38" t="s">
        <v>47</v>
      </c>
      <c r="Y38" t="s">
        <v>39</v>
      </c>
    </row>
    <row r="39" spans="1:25" x14ac:dyDescent="0.2">
      <c r="A39">
        <f t="shared" si="7"/>
        <v>9689.4377000000004</v>
      </c>
      <c r="B39" t="s">
        <v>39</v>
      </c>
      <c r="C39">
        <v>121.38420000000001</v>
      </c>
      <c r="D39" s="30">
        <v>-1.8186999999999998E-2</v>
      </c>
      <c r="E39">
        <v>45004.500450045001</v>
      </c>
      <c r="F39" t="b">
        <v>0</v>
      </c>
      <c r="G39">
        <v>595.42659999999887</v>
      </c>
      <c r="I39">
        <f t="shared" si="0"/>
        <v>2.2220000000000001E-5</v>
      </c>
      <c r="J39" t="str">
        <f t="shared" si="1"/>
        <v/>
      </c>
      <c r="K39" t="str">
        <f t="shared" si="2"/>
        <v/>
      </c>
      <c r="L39" t="str">
        <f t="shared" si="3"/>
        <v/>
      </c>
      <c r="M39" t="str">
        <f t="shared" si="4"/>
        <v/>
      </c>
      <c r="O39" s="30">
        <f t="shared" si="5"/>
        <v>-4.9566209480000224E-3</v>
      </c>
      <c r="P39">
        <f t="shared" si="6"/>
        <v>114.4940362336218</v>
      </c>
      <c r="S39" s="21"/>
      <c r="T39" s="22">
        <f t="shared" si="8"/>
        <v>9.1635000001172306E-7</v>
      </c>
      <c r="U39" s="23">
        <f t="shared" si="9"/>
        <v>5.2074352382192046E-5</v>
      </c>
      <c r="X39" t="s">
        <v>47</v>
      </c>
      <c r="Y39" t="s">
        <v>39</v>
      </c>
    </row>
    <row r="40" spans="1:25" x14ac:dyDescent="0.2">
      <c r="A40">
        <f t="shared" si="7"/>
        <v>10284.864299999999</v>
      </c>
      <c r="B40" t="s">
        <v>39</v>
      </c>
      <c r="C40">
        <v>114.4944</v>
      </c>
      <c r="D40" s="30">
        <v>-4.9550000000000002E-3</v>
      </c>
      <c r="E40">
        <v>40567.951318458421</v>
      </c>
      <c r="F40" t="b">
        <v>0</v>
      </c>
      <c r="G40">
        <v>892.98149999999987</v>
      </c>
      <c r="I40">
        <f t="shared" si="0"/>
        <v>2.4649999999999999E-5</v>
      </c>
      <c r="J40" t="str">
        <f t="shared" si="1"/>
        <v/>
      </c>
      <c r="K40" t="str">
        <f t="shared" si="2"/>
        <v/>
      </c>
      <c r="L40" t="str">
        <f t="shared" si="3"/>
        <v/>
      </c>
      <c r="M40" t="str">
        <f t="shared" si="4"/>
        <v/>
      </c>
      <c r="O40" s="30">
        <f t="shared" si="5"/>
        <v>1.7056993974999997E-2</v>
      </c>
      <c r="P40">
        <f t="shared" si="6"/>
        <v>119.89782836639323</v>
      </c>
      <c r="S40" s="21"/>
      <c r="T40" s="22">
        <f t="shared" si="8"/>
        <v>1.6209480000221529E-6</v>
      </c>
      <c r="U40" s="23">
        <f t="shared" si="9"/>
        <v>3.6376637820012547E-4</v>
      </c>
      <c r="X40" t="s">
        <v>47</v>
      </c>
      <c r="Y40" t="s">
        <v>39</v>
      </c>
    </row>
    <row r="41" spans="1:25" x14ac:dyDescent="0.2">
      <c r="A41">
        <f t="shared" si="7"/>
        <v>11177.845799999999</v>
      </c>
      <c r="B41" t="s">
        <v>39</v>
      </c>
      <c r="C41">
        <v>119.8959</v>
      </c>
      <c r="D41" s="30">
        <v>1.7052999999999999E-2</v>
      </c>
      <c r="E41">
        <v>45167.118337850043</v>
      </c>
      <c r="F41" t="b">
        <v>0</v>
      </c>
      <c r="G41">
        <v>402.21050000000105</v>
      </c>
      <c r="I41">
        <f t="shared" si="0"/>
        <v>2.2140000000000001E-5</v>
      </c>
      <c r="J41" t="str">
        <f t="shared" si="1"/>
        <v/>
      </c>
      <c r="K41" t="str">
        <f t="shared" si="2"/>
        <v/>
      </c>
      <c r="L41" t="str">
        <f t="shared" si="3"/>
        <v/>
      </c>
      <c r="M41" t="str">
        <f t="shared" si="4"/>
        <v/>
      </c>
      <c r="O41" s="30">
        <f t="shared" si="5"/>
        <v>2.5957940470000024E-2</v>
      </c>
      <c r="P41">
        <f t="shared" si="6"/>
        <v>128.54562593595449</v>
      </c>
      <c r="S41" s="21"/>
      <c r="T41" s="22">
        <f t="shared" si="8"/>
        <v>-3.9939749999981511E-6</v>
      </c>
      <c r="U41" s="23">
        <f t="shared" si="9"/>
        <v>-1.9283663932299078E-3</v>
      </c>
      <c r="X41" t="s">
        <v>47</v>
      </c>
      <c r="Y41" t="s">
        <v>39</v>
      </c>
    </row>
    <row r="42" spans="1:25" x14ac:dyDescent="0.2">
      <c r="A42">
        <f t="shared" si="7"/>
        <v>11580.0563</v>
      </c>
      <c r="B42" t="s">
        <v>39</v>
      </c>
      <c r="C42">
        <v>128.54580000000001</v>
      </c>
      <c r="D42" s="30">
        <v>2.5958999999999999E-2</v>
      </c>
      <c r="E42">
        <v>31496.062992125982</v>
      </c>
      <c r="F42" t="b">
        <v>1</v>
      </c>
      <c r="G42">
        <v>888.63500000000022</v>
      </c>
      <c r="I42">
        <f t="shared" si="0"/>
        <v>-3.1749999999999999E-5</v>
      </c>
      <c r="J42" t="str">
        <f t="shared" si="1"/>
        <v/>
      </c>
      <c r="K42" t="str">
        <f t="shared" si="2"/>
        <v/>
      </c>
      <c r="L42" t="str">
        <f t="shared" si="3"/>
        <v/>
      </c>
      <c r="M42" t="str">
        <f t="shared" si="4"/>
        <v/>
      </c>
      <c r="O42" s="30">
        <f t="shared" si="5"/>
        <v>-2.2551612500000054E-3</v>
      </c>
      <c r="P42">
        <f t="shared" si="6"/>
        <v>139.07783037380312</v>
      </c>
      <c r="S42" s="21"/>
      <c r="T42" s="22">
        <f t="shared" si="8"/>
        <v>1.0595299999756336E-6</v>
      </c>
      <c r="U42" s="23">
        <f t="shared" si="9"/>
        <v>1.7406404552389176E-4</v>
      </c>
      <c r="X42" t="s">
        <v>47</v>
      </c>
      <c r="Y42" t="s">
        <v>39</v>
      </c>
    </row>
    <row r="43" spans="1:25" x14ac:dyDescent="0.2">
      <c r="A43">
        <f t="shared" si="7"/>
        <v>12468.6913</v>
      </c>
      <c r="B43" t="s">
        <v>39</v>
      </c>
      <c r="C43">
        <v>139.07910000000001</v>
      </c>
      <c r="D43" s="30">
        <v>-2.2520000000000001E-3</v>
      </c>
      <c r="E43">
        <v>33704.078193461406</v>
      </c>
      <c r="F43" t="b">
        <v>1</v>
      </c>
      <c r="G43">
        <v>593.08119999999872</v>
      </c>
      <c r="I43">
        <f t="shared" si="0"/>
        <v>-2.9670000000000002E-5</v>
      </c>
      <c r="J43" t="str">
        <f t="shared" si="1"/>
        <v/>
      </c>
      <c r="K43" t="str">
        <f t="shared" si="2"/>
        <v/>
      </c>
      <c r="L43" t="str">
        <f t="shared" si="3"/>
        <v/>
      </c>
      <c r="M43" t="str">
        <f t="shared" si="4"/>
        <v/>
      </c>
      <c r="O43" s="30">
        <f t="shared" si="5"/>
        <v>-1.9848719203999964E-2</v>
      </c>
      <c r="P43">
        <f t="shared" si="6"/>
        <v>132.52533946681436</v>
      </c>
      <c r="S43" s="21"/>
      <c r="T43" s="22">
        <f t="shared" si="8"/>
        <v>3.1612500000052952E-6</v>
      </c>
      <c r="U43" s="23">
        <f t="shared" si="9"/>
        <v>1.2696261968869749E-3</v>
      </c>
      <c r="X43" t="s">
        <v>47</v>
      </c>
      <c r="Y43" t="s">
        <v>39</v>
      </c>
    </row>
    <row r="44" spans="1:25" x14ac:dyDescent="0.2">
      <c r="A44">
        <f t="shared" si="7"/>
        <v>13061.772499999999</v>
      </c>
      <c r="B44" t="s">
        <v>20</v>
      </c>
      <c r="C44">
        <v>132.5247</v>
      </c>
      <c r="D44" s="30">
        <v>-1.9851000000000001E-2</v>
      </c>
      <c r="E44">
        <v>0</v>
      </c>
      <c r="F44" t="s">
        <v>14</v>
      </c>
      <c r="G44">
        <v>146.62460000000101</v>
      </c>
      <c r="I44">
        <f t="shared" si="0"/>
        <v>0</v>
      </c>
      <c r="J44" t="str">
        <f t="shared" si="1"/>
        <v/>
      </c>
      <c r="K44" t="str">
        <f t="shared" si="2"/>
        <v/>
      </c>
      <c r="L44" t="str">
        <f t="shared" si="3"/>
        <v/>
      </c>
      <c r="M44" t="str">
        <f t="shared" si="4"/>
        <v/>
      </c>
      <c r="O44" s="30">
        <f t="shared" si="5"/>
        <v>-1.9851000000000001E-2</v>
      </c>
      <c r="P44">
        <f t="shared" si="6"/>
        <v>129.61405506539998</v>
      </c>
      <c r="S44" s="21"/>
      <c r="T44" s="22">
        <f t="shared" si="8"/>
        <v>-2.2807960000370553E-6</v>
      </c>
      <c r="U44" s="23">
        <f t="shared" si="9"/>
        <v>-6.3946681436277686E-4</v>
      </c>
      <c r="X44" t="s">
        <v>20</v>
      </c>
      <c r="Y44" t="s">
        <v>20</v>
      </c>
    </row>
    <row r="45" spans="1:25" x14ac:dyDescent="0.2">
      <c r="A45">
        <f t="shared" si="7"/>
        <v>13208.3971</v>
      </c>
      <c r="B45" t="s">
        <v>39</v>
      </c>
      <c r="C45">
        <v>129.61410000000001</v>
      </c>
      <c r="D45" s="30">
        <v>-1.9851000000000001E-2</v>
      </c>
      <c r="E45">
        <v>18860.807242549981</v>
      </c>
      <c r="F45" t="b">
        <v>0</v>
      </c>
      <c r="G45">
        <v>777.96390000000065</v>
      </c>
      <c r="I45">
        <f t="shared" si="0"/>
        <v>5.3019999999999997E-5</v>
      </c>
      <c r="J45" t="str">
        <f t="shared" si="1"/>
        <v/>
      </c>
      <c r="K45" t="str">
        <f t="shared" si="2"/>
        <v/>
      </c>
      <c r="L45" t="str">
        <f t="shared" si="3"/>
        <v/>
      </c>
      <c r="M45" t="str">
        <f t="shared" si="4"/>
        <v/>
      </c>
      <c r="O45" s="30">
        <f t="shared" si="5"/>
        <v>2.1396645978000034E-2</v>
      </c>
      <c r="P45">
        <f t="shared" si="6"/>
        <v>130.21532838653212</v>
      </c>
      <c r="S45" s="21"/>
      <c r="T45" s="22">
        <f t="shared" si="8"/>
        <v>0</v>
      </c>
      <c r="U45" s="23">
        <f t="shared" si="9"/>
        <v>4.4934600026635962E-5</v>
      </c>
      <c r="X45" t="s">
        <v>47</v>
      </c>
      <c r="Y45" t="s">
        <v>39</v>
      </c>
    </row>
    <row r="46" spans="1:25" x14ac:dyDescent="0.2">
      <c r="A46">
        <f t="shared" si="7"/>
        <v>13986.361000000001</v>
      </c>
      <c r="B46" t="s">
        <v>39</v>
      </c>
      <c r="C46">
        <v>130.21619999999999</v>
      </c>
      <c r="D46" s="30">
        <v>2.1398999999999998E-2</v>
      </c>
      <c r="E46">
        <v>17998.560115190787</v>
      </c>
      <c r="F46" t="b">
        <v>0</v>
      </c>
      <c r="G46">
        <v>277.50799999999981</v>
      </c>
      <c r="I46">
        <f t="shared" si="0"/>
        <v>5.5559999999999997E-5</v>
      </c>
      <c r="J46" t="str">
        <f t="shared" si="1"/>
        <v/>
      </c>
      <c r="K46" t="str">
        <f t="shared" si="2"/>
        <v/>
      </c>
      <c r="L46" t="str">
        <f t="shared" si="3"/>
        <v/>
      </c>
      <c r="M46" t="str">
        <f t="shared" si="4"/>
        <v/>
      </c>
      <c r="O46" s="30">
        <f t="shared" si="5"/>
        <v>3.6817344479999986E-2</v>
      </c>
      <c r="P46">
        <f t="shared" si="6"/>
        <v>138.2939506619779</v>
      </c>
      <c r="S46" s="21"/>
      <c r="T46" s="22">
        <f t="shared" si="8"/>
        <v>2.3540219999639012E-6</v>
      </c>
      <c r="U46" s="23">
        <f t="shared" si="9"/>
        <v>8.7161346786501781E-4</v>
      </c>
      <c r="X46" t="s">
        <v>47</v>
      </c>
      <c r="Y46" t="s">
        <v>39</v>
      </c>
    </row>
    <row r="47" spans="1:25" x14ac:dyDescent="0.2">
      <c r="A47">
        <f t="shared" si="7"/>
        <v>14263.869000000001</v>
      </c>
      <c r="B47" t="s">
        <v>39</v>
      </c>
      <c r="C47">
        <v>138.2936</v>
      </c>
      <c r="D47" s="30">
        <v>3.6816000000000002E-2</v>
      </c>
      <c r="E47">
        <v>18198.362147406733</v>
      </c>
      <c r="F47" t="b">
        <v>1</v>
      </c>
      <c r="G47">
        <v>1343.3382000000001</v>
      </c>
      <c r="I47">
        <f t="shared" si="0"/>
        <v>-5.4950000000000001E-5</v>
      </c>
      <c r="J47" t="str">
        <f t="shared" si="1"/>
        <v/>
      </c>
      <c r="K47" t="str">
        <f t="shared" si="2"/>
        <v/>
      </c>
      <c r="L47" t="str">
        <f t="shared" si="3"/>
        <v/>
      </c>
      <c r="M47" t="str">
        <f t="shared" si="4"/>
        <v/>
      </c>
      <c r="O47" s="30">
        <f t="shared" si="5"/>
        <v>-3.7000434090000006E-2</v>
      </c>
      <c r="P47">
        <f t="shared" si="6"/>
        <v>138.16972132076037</v>
      </c>
      <c r="S47" s="21"/>
      <c r="T47" s="22">
        <f t="shared" si="8"/>
        <v>-1.3444799999845491E-6</v>
      </c>
      <c r="U47" s="23">
        <f t="shared" si="9"/>
        <v>-3.5066197790456499E-4</v>
      </c>
      <c r="X47" t="s">
        <v>47</v>
      </c>
      <c r="Y47" t="s">
        <v>39</v>
      </c>
    </row>
    <row r="48" spans="1:25" x14ac:dyDescent="0.2">
      <c r="A48">
        <f t="shared" si="7"/>
        <v>15607.207200000001</v>
      </c>
      <c r="B48" t="s">
        <v>39</v>
      </c>
      <c r="C48">
        <v>138.1739</v>
      </c>
      <c r="D48" s="30">
        <v>-3.6993999999999999E-2</v>
      </c>
      <c r="E48">
        <v>14999.250037498126</v>
      </c>
      <c r="F48" t="b">
        <v>0</v>
      </c>
      <c r="G48">
        <v>274.45129999999881</v>
      </c>
      <c r="I48">
        <f t="shared" si="0"/>
        <v>6.6669999999999997E-5</v>
      </c>
      <c r="J48" t="str">
        <f t="shared" si="1"/>
        <v/>
      </c>
      <c r="K48" t="str">
        <f t="shared" si="2"/>
        <v/>
      </c>
      <c r="L48" t="str">
        <f t="shared" si="3"/>
        <v/>
      </c>
      <c r="M48" t="str">
        <f t="shared" si="4"/>
        <v/>
      </c>
      <c r="O48" s="30">
        <f t="shared" si="5"/>
        <v>-1.869633182900008E-2</v>
      </c>
      <c r="P48">
        <f t="shared" si="6"/>
        <v>130.53175801604982</v>
      </c>
      <c r="S48" s="21"/>
      <c r="T48" s="22">
        <f t="shared" si="8"/>
        <v>6.4340900000070533E-6</v>
      </c>
      <c r="U48" s="23">
        <f t="shared" si="9"/>
        <v>4.1786792396294459E-3</v>
      </c>
      <c r="X48" t="s">
        <v>47</v>
      </c>
      <c r="Y48" t="s">
        <v>39</v>
      </c>
    </row>
    <row r="49" spans="1:25" x14ac:dyDescent="0.2">
      <c r="A49">
        <f t="shared" si="7"/>
        <v>15881.6585</v>
      </c>
      <c r="B49" t="s">
        <v>39</v>
      </c>
      <c r="C49">
        <v>130.5317</v>
      </c>
      <c r="D49" s="30">
        <v>-1.8696999999999998E-2</v>
      </c>
      <c r="E49">
        <v>14249.073810202337</v>
      </c>
      <c r="F49" t="b">
        <v>0</v>
      </c>
      <c r="G49">
        <v>627.11670000000049</v>
      </c>
      <c r="I49">
        <f t="shared" si="0"/>
        <v>7.0179999999999996E-5</v>
      </c>
      <c r="J49" t="str">
        <f t="shared" si="1"/>
        <v/>
      </c>
      <c r="K49" t="str">
        <f t="shared" si="2"/>
        <v/>
      </c>
      <c r="L49" t="str">
        <f t="shared" si="3"/>
        <v/>
      </c>
      <c r="M49" t="str">
        <f t="shared" si="4"/>
        <v/>
      </c>
      <c r="O49" s="30">
        <f t="shared" si="5"/>
        <v>2.5314050006000031E-2</v>
      </c>
      <c r="P49">
        <f t="shared" si="6"/>
        <v>132.60653128174886</v>
      </c>
      <c r="S49" s="21"/>
      <c r="T49" s="22">
        <f t="shared" si="8"/>
        <v>-6.6817099991789419E-7</v>
      </c>
      <c r="U49" s="23">
        <f t="shared" si="9"/>
        <v>-5.8016049820253102E-5</v>
      </c>
      <c r="X49" t="s">
        <v>47</v>
      </c>
      <c r="Y49" t="s">
        <v>39</v>
      </c>
    </row>
    <row r="50" spans="1:25" x14ac:dyDescent="0.2">
      <c r="A50">
        <f t="shared" si="7"/>
        <v>16508.7752</v>
      </c>
      <c r="B50" t="s">
        <v>39</v>
      </c>
      <c r="C50">
        <v>132.6054</v>
      </c>
      <c r="D50" s="30">
        <v>2.5311E-2</v>
      </c>
      <c r="E50">
        <v>18198.362147406733</v>
      </c>
      <c r="F50" t="b">
        <v>1</v>
      </c>
      <c r="G50">
        <v>405.41589999999997</v>
      </c>
      <c r="I50">
        <f t="shared" si="0"/>
        <v>-5.4950000000000001E-5</v>
      </c>
      <c r="J50" t="str">
        <f t="shared" si="1"/>
        <v/>
      </c>
      <c r="K50" t="str">
        <f t="shared" si="2"/>
        <v/>
      </c>
      <c r="L50" t="str">
        <f t="shared" si="3"/>
        <v/>
      </c>
      <c r="M50" t="str">
        <f t="shared" si="4"/>
        <v/>
      </c>
      <c r="O50" s="30">
        <f t="shared" si="5"/>
        <v>3.0333962950000008E-3</v>
      </c>
      <c r="P50">
        <f t="shared" si="6"/>
        <v>138.35103446694706</v>
      </c>
      <c r="S50" s="21"/>
      <c r="T50" s="22">
        <f t="shared" si="8"/>
        <v>-3.0500060000313023E-6</v>
      </c>
      <c r="U50" s="23">
        <f t="shared" si="9"/>
        <v>-1.1312817488544624E-3</v>
      </c>
      <c r="X50" t="s">
        <v>47</v>
      </c>
      <c r="Y50" t="s">
        <v>39</v>
      </c>
    </row>
    <row r="51" spans="1:25" x14ac:dyDescent="0.2">
      <c r="A51">
        <f t="shared" si="7"/>
        <v>16914.1911</v>
      </c>
      <c r="B51" t="s">
        <v>39</v>
      </c>
      <c r="C51">
        <v>138.35140000000001</v>
      </c>
      <c r="D51" s="30">
        <v>3.0349999999999999E-3</v>
      </c>
      <c r="E51">
        <v>110011.00110011002</v>
      </c>
      <c r="F51" t="b">
        <v>1</v>
      </c>
      <c r="G51">
        <v>198.67889999999898</v>
      </c>
      <c r="I51">
        <f t="shared" si="0"/>
        <v>-9.0899999999999994E-6</v>
      </c>
      <c r="J51" t="str">
        <f t="shared" si="1"/>
        <v/>
      </c>
      <c r="K51" t="str">
        <f t="shared" si="2"/>
        <v/>
      </c>
      <c r="L51" t="str">
        <f t="shared" si="3"/>
        <v/>
      </c>
      <c r="M51" t="str">
        <f t="shared" si="4"/>
        <v/>
      </c>
      <c r="O51" s="30">
        <f t="shared" si="5"/>
        <v>1.2290087990000094E-3</v>
      </c>
      <c r="P51">
        <f t="shared" si="6"/>
        <v>138.77498428888782</v>
      </c>
      <c r="S51" s="21"/>
      <c r="T51" s="22">
        <f t="shared" si="8"/>
        <v>1.6037049999991122E-6</v>
      </c>
      <c r="U51" s="23">
        <f t="shared" si="9"/>
        <v>3.6553305295683458E-4</v>
      </c>
      <c r="X51" t="s">
        <v>47</v>
      </c>
      <c r="Y51" t="s">
        <v>39</v>
      </c>
    </row>
    <row r="52" spans="1:25" x14ac:dyDescent="0.2">
      <c r="A52">
        <f t="shared" si="7"/>
        <v>17112.87</v>
      </c>
      <c r="B52" t="s">
        <v>39</v>
      </c>
      <c r="C52">
        <v>138.77510000000001</v>
      </c>
      <c r="D52" s="30">
        <v>1.2290000000000001E-3</v>
      </c>
      <c r="E52">
        <v>19900.497512437814</v>
      </c>
      <c r="F52" t="b">
        <v>0</v>
      </c>
      <c r="G52">
        <v>84.896700000001147</v>
      </c>
      <c r="I52">
        <f t="shared" si="0"/>
        <v>5.0249999999999995E-5</v>
      </c>
      <c r="J52" t="str">
        <f t="shared" si="1"/>
        <v/>
      </c>
      <c r="K52" t="str">
        <f t="shared" si="2"/>
        <v/>
      </c>
      <c r="L52" t="str">
        <f t="shared" si="3"/>
        <v/>
      </c>
      <c r="M52" t="str">
        <f t="shared" si="4"/>
        <v/>
      </c>
      <c r="O52" s="30">
        <f t="shared" si="5"/>
        <v>5.495059175000057E-3</v>
      </c>
      <c r="P52">
        <f t="shared" si="6"/>
        <v>139.06052521728114</v>
      </c>
      <c r="S52" s="21"/>
      <c r="T52" s="22">
        <f t="shared" si="8"/>
        <v>-8.7990000092932202E-9</v>
      </c>
      <c r="U52" s="23">
        <f t="shared" si="9"/>
        <v>1.1571111218700025E-4</v>
      </c>
      <c r="X52" t="s">
        <v>47</v>
      </c>
      <c r="Y52" t="s">
        <v>39</v>
      </c>
    </row>
    <row r="53" spans="1:25" x14ac:dyDescent="0.2">
      <c r="A53">
        <f t="shared" si="7"/>
        <v>17197.7667</v>
      </c>
      <c r="B53" t="s">
        <v>39</v>
      </c>
      <c r="C53">
        <v>139.06049999999999</v>
      </c>
      <c r="D53" s="30">
        <v>5.4949999999999999E-3</v>
      </c>
      <c r="E53">
        <v>20000</v>
      </c>
      <c r="F53" t="b">
        <v>1</v>
      </c>
      <c r="G53">
        <v>55.657299999998941</v>
      </c>
      <c r="I53">
        <f t="shared" si="0"/>
        <v>-5.0000000000000002E-5</v>
      </c>
      <c r="J53" t="str">
        <f t="shared" si="1"/>
        <v/>
      </c>
      <c r="K53" t="str">
        <f t="shared" si="2"/>
        <v/>
      </c>
      <c r="L53" t="str">
        <f t="shared" si="3"/>
        <v/>
      </c>
      <c r="M53" t="str">
        <f t="shared" si="4"/>
        <v/>
      </c>
      <c r="O53" s="30">
        <f t="shared" si="5"/>
        <v>2.7121350000000525E-3</v>
      </c>
      <c r="P53">
        <f t="shared" si="6"/>
        <v>139.28889348741774</v>
      </c>
      <c r="S53" s="21"/>
      <c r="T53" s="22">
        <f t="shared" si="8"/>
        <v>-5.9175000057150318E-8</v>
      </c>
      <c r="U53" s="23">
        <f t="shared" si="9"/>
        <v>-2.5217281148570692E-5</v>
      </c>
      <c r="X53" t="s">
        <v>47</v>
      </c>
      <c r="Y53" t="s">
        <v>39</v>
      </c>
    </row>
    <row r="54" spans="1:25" x14ac:dyDescent="0.2">
      <c r="A54">
        <f t="shared" si="7"/>
        <v>17253.423999999999</v>
      </c>
      <c r="B54" t="s">
        <v>20</v>
      </c>
      <c r="C54">
        <v>139.28890000000001</v>
      </c>
      <c r="D54" s="30">
        <v>2.712E-3</v>
      </c>
      <c r="E54">
        <v>0</v>
      </c>
      <c r="F54" t="s">
        <v>14</v>
      </c>
      <c r="G54">
        <v>211.07719999999972</v>
      </c>
      <c r="I54">
        <f t="shared" si="0"/>
        <v>0</v>
      </c>
      <c r="J54" t="str">
        <f t="shared" si="1"/>
        <v/>
      </c>
      <c r="K54" t="str">
        <f t="shared" si="2"/>
        <v/>
      </c>
      <c r="L54" t="str">
        <f t="shared" si="3"/>
        <v/>
      </c>
      <c r="M54" t="str">
        <f t="shared" si="4"/>
        <v/>
      </c>
      <c r="O54" s="30">
        <f t="shared" si="5"/>
        <v>2.712E-3</v>
      </c>
      <c r="P54">
        <f t="shared" si="6"/>
        <v>139.86134136640001</v>
      </c>
      <c r="S54" s="21"/>
      <c r="T54" s="22">
        <f t="shared" si="8"/>
        <v>-1.3500000005254101E-7</v>
      </c>
      <c r="U54" s="23">
        <f t="shared" si="9"/>
        <v>6.5125822743539175E-6</v>
      </c>
      <c r="X54" t="s">
        <v>20</v>
      </c>
      <c r="Y54" t="s">
        <v>20</v>
      </c>
    </row>
    <row r="55" spans="1:25" x14ac:dyDescent="0.2">
      <c r="A55">
        <f t="shared" si="7"/>
        <v>17464.501199999999</v>
      </c>
      <c r="B55" t="s">
        <v>39</v>
      </c>
      <c r="C55">
        <v>139.8613</v>
      </c>
      <c r="D55" s="30">
        <v>2.712E-3</v>
      </c>
      <c r="E55">
        <v>96711.79883945841</v>
      </c>
      <c r="F55" t="b">
        <v>1</v>
      </c>
      <c r="G55">
        <v>959.77310000000216</v>
      </c>
      <c r="I55">
        <f t="shared" si="0"/>
        <v>-1.0340000000000001E-5</v>
      </c>
      <c r="J55" t="str">
        <f t="shared" si="1"/>
        <v/>
      </c>
      <c r="K55" t="str">
        <f t="shared" si="2"/>
        <v/>
      </c>
      <c r="L55" t="str">
        <f t="shared" si="3"/>
        <v/>
      </c>
      <c r="M55" t="str">
        <f t="shared" si="4"/>
        <v/>
      </c>
      <c r="O55" s="30">
        <f t="shared" si="5"/>
        <v>-7.2120538540000239E-3</v>
      </c>
      <c r="P55">
        <f t="shared" si="6"/>
        <v>137.70178468118971</v>
      </c>
      <c r="S55" s="21"/>
      <c r="T55" s="22">
        <f t="shared" si="8"/>
        <v>0</v>
      </c>
      <c r="U55" s="23">
        <f t="shared" si="9"/>
        <v>-4.1366400012066151E-5</v>
      </c>
      <c r="X55" t="s">
        <v>47</v>
      </c>
      <c r="Y55" t="s">
        <v>39</v>
      </c>
    </row>
    <row r="56" spans="1:25" x14ac:dyDescent="0.2">
      <c r="A56">
        <f t="shared" si="7"/>
        <v>18424.274300000001</v>
      </c>
      <c r="B56" t="s">
        <v>39</v>
      </c>
      <c r="C56">
        <v>137.70249999999999</v>
      </c>
      <c r="D56" s="30">
        <v>-7.2109999999999995E-3</v>
      </c>
      <c r="E56">
        <v>21848.372296263929</v>
      </c>
      <c r="F56" t="b">
        <v>1</v>
      </c>
      <c r="G56">
        <v>585.42710000000079</v>
      </c>
      <c r="I56">
        <f t="shared" si="0"/>
        <v>-4.5769999999999997E-5</v>
      </c>
      <c r="J56" t="str">
        <f t="shared" si="1"/>
        <v/>
      </c>
      <c r="K56" t="str">
        <f t="shared" si="2"/>
        <v/>
      </c>
      <c r="L56" t="str">
        <f t="shared" si="3"/>
        <v/>
      </c>
      <c r="M56" t="str">
        <f t="shared" si="4"/>
        <v/>
      </c>
      <c r="O56" s="30">
        <f t="shared" si="5"/>
        <v>-3.4005998367000037E-2</v>
      </c>
      <c r="P56">
        <f t="shared" si="6"/>
        <v>125.63772608765119</v>
      </c>
      <c r="S56" s="21"/>
      <c r="T56" s="22">
        <f t="shared" si="8"/>
        <v>1.0538540000243346E-6</v>
      </c>
      <c r="U56" s="23">
        <f t="shared" si="9"/>
        <v>7.1531881027908639E-4</v>
      </c>
      <c r="X56" t="s">
        <v>47</v>
      </c>
      <c r="Y56" t="s">
        <v>39</v>
      </c>
    </row>
    <row r="57" spans="1:25" x14ac:dyDescent="0.2">
      <c r="A57">
        <f t="shared" si="7"/>
        <v>19009.701400000002</v>
      </c>
      <c r="B57" t="s">
        <v>20</v>
      </c>
      <c r="C57">
        <v>125.63809999999999</v>
      </c>
      <c r="D57" s="30">
        <v>-3.4005000000000001E-2</v>
      </c>
      <c r="E57">
        <v>0</v>
      </c>
      <c r="F57" t="s">
        <v>14</v>
      </c>
      <c r="G57">
        <v>121.75219999999899</v>
      </c>
      <c r="I57">
        <f t="shared" si="0"/>
        <v>0</v>
      </c>
      <c r="J57" t="str">
        <f t="shared" si="1"/>
        <v/>
      </c>
      <c r="K57" t="str">
        <f t="shared" si="2"/>
        <v/>
      </c>
      <c r="L57" t="str">
        <f t="shared" si="3"/>
        <v/>
      </c>
      <c r="M57" t="str">
        <f t="shared" si="4"/>
        <v/>
      </c>
      <c r="O57" s="30">
        <f t="shared" si="5"/>
        <v>-3.4005000000000001E-2</v>
      </c>
      <c r="P57">
        <f t="shared" si="6"/>
        <v>121.49791643900002</v>
      </c>
      <c r="S57" s="21"/>
      <c r="T57" s="22">
        <f t="shared" si="8"/>
        <v>9.9836700003658185E-7</v>
      </c>
      <c r="U57" s="23">
        <f t="shared" si="9"/>
        <v>3.7391234880601587E-4</v>
      </c>
      <c r="X57" t="s">
        <v>20</v>
      </c>
      <c r="Y57" t="s">
        <v>20</v>
      </c>
    </row>
    <row r="58" spans="1:25" x14ac:dyDescent="0.2">
      <c r="A58">
        <f t="shared" si="7"/>
        <v>19131.453600000001</v>
      </c>
      <c r="B58" t="s">
        <v>39</v>
      </c>
      <c r="C58">
        <v>121.4979</v>
      </c>
      <c r="D58" s="30">
        <v>-3.4005000000000001E-2</v>
      </c>
      <c r="E58">
        <v>26343.519494204425</v>
      </c>
      <c r="F58" t="b">
        <v>0</v>
      </c>
      <c r="G58">
        <v>819.58169999999882</v>
      </c>
      <c r="I58">
        <f t="shared" si="0"/>
        <v>3.7960000000000002E-5</v>
      </c>
      <c r="J58" t="str">
        <f t="shared" si="1"/>
        <v/>
      </c>
      <c r="K58" t="str">
        <f t="shared" si="2"/>
        <v/>
      </c>
      <c r="L58" t="str">
        <f t="shared" si="3"/>
        <v/>
      </c>
      <c r="M58" t="str">
        <f t="shared" si="4"/>
        <v/>
      </c>
      <c r="O58" s="30">
        <f t="shared" si="5"/>
        <v>-2.8936786680000444E-3</v>
      </c>
      <c r="P58">
        <f t="shared" si="6"/>
        <v>106.37715910476342</v>
      </c>
      <c r="S58" s="21"/>
      <c r="T58" s="22">
        <f t="shared" si="8"/>
        <v>0</v>
      </c>
      <c r="U58" s="23">
        <f t="shared" si="9"/>
        <v>-1.6439000020795902E-5</v>
      </c>
      <c r="X58" t="s">
        <v>47</v>
      </c>
      <c r="Y58" t="s">
        <v>39</v>
      </c>
    </row>
    <row r="59" spans="1:25" x14ac:dyDescent="0.2">
      <c r="A59">
        <f t="shared" si="7"/>
        <v>19951.0353</v>
      </c>
      <c r="B59" t="s">
        <v>20</v>
      </c>
      <c r="C59">
        <v>106.37690000000001</v>
      </c>
      <c r="D59" s="30">
        <v>-2.8939999999999999E-3</v>
      </c>
      <c r="E59">
        <v>0</v>
      </c>
      <c r="F59" t="s">
        <v>14</v>
      </c>
      <c r="G59">
        <v>266.26420000000144</v>
      </c>
      <c r="I59">
        <f t="shared" si="0"/>
        <v>0</v>
      </c>
      <c r="J59" t="str">
        <f t="shared" si="1"/>
        <v/>
      </c>
      <c r="K59" t="str">
        <f t="shared" si="2"/>
        <v/>
      </c>
      <c r="L59" t="str">
        <f t="shared" si="3"/>
        <v/>
      </c>
      <c r="M59" t="str">
        <f t="shared" si="4"/>
        <v/>
      </c>
      <c r="O59" s="30">
        <f t="shared" si="5"/>
        <v>-2.8939999999999999E-3</v>
      </c>
      <c r="P59">
        <f t="shared" si="6"/>
        <v>105.6063314052</v>
      </c>
      <c r="S59" s="21"/>
      <c r="T59" s="22">
        <f t="shared" si="8"/>
        <v>-3.2133199995548062E-7</v>
      </c>
      <c r="U59" s="23">
        <f t="shared" si="9"/>
        <v>-2.5910476341550748E-4</v>
      </c>
      <c r="X59" t="s">
        <v>20</v>
      </c>
      <c r="Y59" t="s">
        <v>20</v>
      </c>
    </row>
    <row r="60" spans="1:25" ht="13.5" thickBot="1" x14ac:dyDescent="0.25">
      <c r="A60">
        <f t="shared" si="7"/>
        <v>20217.299500000001</v>
      </c>
      <c r="B60" t="s">
        <v>39</v>
      </c>
      <c r="C60">
        <v>105.6063</v>
      </c>
      <c r="D60" s="30">
        <v>-2.8939999999999999E-3</v>
      </c>
      <c r="E60">
        <v>30066.145520144317</v>
      </c>
      <c r="F60" t="b">
        <v>1</v>
      </c>
      <c r="G60">
        <v>549.22550000000047</v>
      </c>
      <c r="I60">
        <f t="shared" si="0"/>
        <v>-3.3260000000000003E-5</v>
      </c>
      <c r="J60" t="str">
        <f t="shared" si="1"/>
        <v/>
      </c>
      <c r="K60" t="str">
        <f t="shared" si="2"/>
        <v/>
      </c>
      <c r="L60" t="str">
        <f t="shared" si="3"/>
        <v/>
      </c>
      <c r="M60" t="str">
        <f t="shared" si="4"/>
        <v/>
      </c>
      <c r="O60" s="30">
        <f t="shared" si="5"/>
        <v>-2.1161240130000019E-2</v>
      </c>
      <c r="P60">
        <f t="shared" si="6"/>
        <v>99.000424355990333</v>
      </c>
      <c r="S60" s="24"/>
      <c r="T60" s="25">
        <f t="shared" si="8"/>
        <v>0</v>
      </c>
      <c r="U60" s="26">
        <f t="shared" si="9"/>
        <v>-3.1405199990786059E-5</v>
      </c>
      <c r="X60" t="s">
        <v>47</v>
      </c>
      <c r="Y60" t="s">
        <v>39</v>
      </c>
    </row>
  </sheetData>
  <conditionalFormatting sqref="T1:T3">
    <cfRule type="cellIs" dxfId="10" priority="8" stopIfTrue="1" operator="lessThan">
      <formula>-#REF!</formula>
    </cfRule>
    <cfRule type="cellIs" dxfId="9" priority="9" stopIfTrue="1" operator="greaterThan">
      <formula>#REF!</formula>
    </cfRule>
  </conditionalFormatting>
  <conditionalFormatting sqref="U1 S3">
    <cfRule type="cellIs" dxfId="8" priority="6" stopIfTrue="1" operator="lessThan">
      <formula>-#REF!</formula>
    </cfRule>
    <cfRule type="cellIs" dxfId="7" priority="7" stopIfTrue="1" operator="greaterThan">
      <formula>#REF!</formula>
    </cfRule>
  </conditionalFormatting>
  <conditionalFormatting sqref="U2:U3">
    <cfRule type="cellIs" dxfId="6" priority="10" stopIfTrue="1" operator="lessThan">
      <formula>-#REF!</formula>
    </cfRule>
    <cfRule type="cellIs" dxfId="5" priority="11" stopIfTrue="1" operator="greaterThan">
      <formula>#REF!</formula>
    </cfRule>
  </conditionalFormatting>
  <conditionalFormatting sqref="T1:T1048576">
    <cfRule type="cellIs" dxfId="4" priority="1" operator="lessThan">
      <formula>-$T$1</formula>
    </cfRule>
    <cfRule type="cellIs" dxfId="3" priority="5" operator="greaterThan">
      <formula>$T$1</formula>
    </cfRule>
  </conditionalFormatting>
  <conditionalFormatting sqref="G18">
    <cfRule type="cellIs" dxfId="2" priority="4" operator="lessThan">
      <formula>-$T$1</formula>
    </cfRule>
  </conditionalFormatting>
  <conditionalFormatting sqref="U1:U1048576">
    <cfRule type="cellIs" dxfId="1" priority="2" operator="lessThan">
      <formula>-$U$1</formula>
    </cfRule>
    <cfRule type="cellIs" dxfId="0" priority="3" operator="greaterThan">
      <formula>$U$1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Horizontal Element Checker</vt:lpstr>
      <vt:lpstr>Vertical Element Checker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wood3461</dc:creator>
  <cp:lastModifiedBy>Amann, Julian</cp:lastModifiedBy>
  <dcterms:created xsi:type="dcterms:W3CDTF">2014-10-16T10:45:41Z</dcterms:created>
  <dcterms:modified xsi:type="dcterms:W3CDTF">2015-03-13T11:42:40Z</dcterms:modified>
</cp:coreProperties>
</file>